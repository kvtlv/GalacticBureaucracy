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Vassals" sheetId="3" state="visible" r:id="rId3"/>
    <sheet xmlns:r="http://schemas.openxmlformats.org/officeDocument/2006/relationships" name="CostCurve_Sim" sheetId="4" state="visible" r:id="rId4"/>
    <sheet xmlns:r="http://schemas.openxmlformats.org/officeDocument/2006/relationships" name="Production_Sim" sheetId="5" state="visible" r:id="rId5"/>
    <sheet xmlns:r="http://schemas.openxmlformats.org/officeDocument/2006/relationships" name="Prestige_Sim" sheetId="6" state="visible" r:id="rId6"/>
    <sheet xmlns:r="http://schemas.openxmlformats.org/officeDocument/2006/relationships" name="War_Sim" sheetId="7" state="visible" r:id="rId7"/>
    <sheet xmlns:r="http://schemas.openxmlformats.org/officeDocument/2006/relationships" name="Fleet_Sim" sheetId="8" state="visible" r:id="rId8"/>
    <sheet xmlns:r="http://schemas.openxmlformats.org/officeDocument/2006/relationships" name="UpgradeTree_Sim" sheetId="9" state="visible" r:id="rId9"/>
    <sheet xmlns:r="http://schemas.openxmlformats.org/officeDocument/2006/relationships" name="Connections_Sim" sheetId="10" state="visible" r:id="rId10"/>
    <sheet xmlns:r="http://schemas.openxmlformats.org/officeDocument/2006/relationships" name="ResourceLadder_Sim" sheetId="11" state="visible" r:id="rId11"/>
    <sheet xmlns:r="http://schemas.openxmlformats.org/officeDocument/2006/relationships" name="Research_Sim" sheetId="12" state="visible" r:id="rId12"/>
    <sheet xmlns:r="http://schemas.openxmlformats.org/officeDocument/2006/relationships" name="CC_Generator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\+0%"/>
    <numFmt numFmtId="167" formatCode="0.0\x"/>
    <numFmt numFmtId="168" formatCode="0.000"/>
    <numFmt numFmtId="169" formatCode="0\h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4"/>
    </font>
    <font>
      <name val="Arial"/>
      <charset val="1"/>
      <family val="0"/>
      <b val="1"/>
      <color rgb="FF2E2E48"/>
      <sz val="10"/>
    </font>
  </fonts>
  <fills count="7">
    <fill>
      <patternFill/>
    </fill>
    <fill>
      <patternFill patternType="gray125"/>
    </fill>
    <fill>
      <patternFill patternType="solid">
        <fgColor rgb="FF2E2E4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6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DCE3F2"/>
        <bgColor rgb="FFF2F2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9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bottom"/>
    </xf>
    <xf numFmtId="0" fontId="7" fillId="4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3" fontId="14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167" fontId="14" fillId="4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69" fontId="9" fillId="4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9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bottom"/>
    </xf>
    <xf numFmtId="0" fontId="7" fillId="4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3" fontId="14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167" fontId="14" fillId="4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69" fontId="9" fillId="4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F2F2F6"/>
      <rgbColor rgb="FF660066"/>
      <rgbColor rgb="FFFF8080"/>
      <rgbColor rgb="FF0066CC"/>
      <rgbColor rgb="FFDCE3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00" customWidth="1" style="66" min="2" max="2"/>
  </cols>
  <sheetData>
    <row r="1" ht="17.25" customHeight="1" s="67">
      <c r="B1" s="68" t="inlineStr">
        <is>
          <t>GALACTIC BUREAUCRACY — Economy Model v0.2</t>
        </is>
      </c>
    </row>
    <row r="2" ht="15" customHeight="1" s="67">
      <c r="B2" s="69" t="inlineStr">
        <is>
          <t>Idle / incremental economy backbone. Tune the BLUE cells; everything else recalculates.</t>
        </is>
      </c>
    </row>
    <row r="4" ht="15" customHeight="1" s="67">
      <c r="B4" s="70" t="inlineStr">
        <is>
          <t>HOW TO USE</t>
        </is>
      </c>
    </row>
    <row r="5" ht="15" customHeight="1" s="67">
      <c r="B5" s="71" t="inlineStr">
        <is>
          <t>• BLUE cells on yellow background = inputs you tune. BLACK cells = formulas, don't touch.</t>
        </is>
      </c>
    </row>
    <row r="6" ht="15" customHeight="1" s="67">
      <c r="B6" s="71" t="inlineStr">
        <is>
          <t>• Green cells pull from other sheets.</t>
        </is>
      </c>
    </row>
    <row r="7" ht="15" customHeight="1" s="67">
      <c r="B7" s="71" t="inlineStr">
        <is>
          <t>• After editing in Excel, values auto-recalc. In LibreOffice/Sheets, same.</t>
        </is>
      </c>
    </row>
    <row r="9" ht="15" customHeight="1" s="67">
      <c r="B9" s="70" t="inlineStr">
        <is>
          <t>SHEET GUIDE</t>
        </is>
      </c>
    </row>
    <row r="10" ht="15" customHeight="1" s="67">
      <c r="B10" s="71" t="inlineStr">
        <is>
          <t>1. README — this page.</t>
        </is>
      </c>
    </row>
    <row r="11" ht="15" customHeight="1" s="67">
      <c r="B11" s="71" t="inlineStr">
        <is>
          <t>2. Assumptions — global knobs: tick rate, currency definitions, growth constants.</t>
        </is>
      </c>
    </row>
    <row r="12" ht="15" customHeight="1" s="67">
      <c r="B12" s="71" t="inlineStr">
        <is>
          <t>3. Vassals — the full vassal roster with cost curves &amp; production. Core of the game.</t>
        </is>
      </c>
    </row>
    <row r="13" ht="15" customHeight="1" s="67">
      <c r="B13" s="71" t="inlineStr">
        <is>
          <t>4. CostCurve_Sim — buy levels 0..50 of a vassal, see cost &amp; cumulative cost ramp.</t>
        </is>
      </c>
    </row>
    <row r="14" ht="15" customHeight="1" s="67">
      <c r="B14" s="71" t="inlineStr">
        <is>
          <t>5. Production_Sim — minute-by-minute Cyber Crystal economy over a session.</t>
        </is>
      </c>
    </row>
    <row r="15" ht="15" customHeight="1" s="67">
      <c r="B15" s="71" t="inlineStr">
        <is>
          <t>6. Prestige_Sim — Abdication Stamp earnings vs lifetime production, prestige timing.</t>
        </is>
      </c>
    </row>
    <row r="16" ht="15" customHeight="1" s="67">
      <c r="B16" s="71" t="inlineStr">
        <is>
          <t>7. War_Sim — Red Pill / Mech-Bro conquest loop, timer ROI per region.</t>
        </is>
      </c>
    </row>
    <row r="18" ht="15" customHeight="1" s="67">
      <c r="B18" s="70" t="inlineStr">
        <is>
          <t>GENRE FORMULAS USED (sources)</t>
        </is>
      </c>
    </row>
    <row r="19" ht="15" customHeight="1" s="67">
      <c r="B19" s="71" t="inlineStr">
        <is>
          <t>• Cost curve:  Price = BaseCost x Multiplier ^ Owned   (Tuts+: Clicker Heroes 1.07, Cookie Clicker 1.15)</t>
        </is>
      </c>
    </row>
    <row r="20" ht="15" customHeight="1" s="67">
      <c r="B20" s="71" t="inlineStr">
        <is>
          <t>• Income must grow slower than cost, so player buys fast early then slows -&gt; return trigger.</t>
        </is>
      </c>
    </row>
    <row r="21" ht="15" customHeight="1" s="67">
      <c r="B21" s="71" t="inlineStr">
        <is>
          <t>• Prestige currency uses a flat curve (sqrt of lifetime production) -&gt; diminishing returns per run.</t>
        </is>
      </c>
    </row>
    <row r="22" ht="15" customHeight="1" s="67">
      <c r="B22" s="71" t="inlineStr">
        <is>
          <t>• Offline earnings are capped on purpose -&gt; a reason to return, not a punishment.</t>
        </is>
      </c>
    </row>
    <row r="23" ht="15" customHeight="1" s="67">
      <c r="B23" s="71" t="inlineStr">
        <is>
          <t xml:space="preserve">  Refs: Pecorella 'Math of Idle Games' I-III (gamedeveloper.com); Pecorella GDC 2015 talk;</t>
        </is>
      </c>
    </row>
    <row r="24" ht="15" customHeight="1" s="67">
      <c r="B24" s="71" t="inlineStr">
        <is>
          <t xml:space="preserve">  'Numbers Getting Bigger' (code.tutsplus.com); Medvescek Murovec 'Math the backbone of Idle Games'.</t>
        </is>
      </c>
    </row>
    <row r="26" ht="15" customHeight="1" s="67">
      <c r="B26" s="70" t="inlineStr">
        <is>
          <t>DESIGN INTENT (from GDD)</t>
        </is>
      </c>
    </row>
    <row r="27" ht="15" customHeight="1" s="67">
      <c r="B27" s="71" t="inlineStr">
        <is>
          <t>• First 30s: something grows. Manual click -&gt; first vassal automates -&gt; dopamine.</t>
        </is>
      </c>
    </row>
    <row r="28" ht="15" customHeight="1" s="67">
      <c r="B28" s="71" t="inlineStr">
        <is>
          <t>• No grind, only momentum. Waiting is a return reason, not a penalty.</t>
        </is>
      </c>
    </row>
    <row r="29" ht="15" customHeight="1" s="67">
      <c r="B29" s="71" t="inlineStr">
        <is>
          <t>• Only real strategic choice = which region to conquer (Sun Drips vs Pepper Melange).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E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34" customWidth="1" style="66" min="2" max="2"/>
    <col width="16" customWidth="1" style="66" min="3" max="3"/>
    <col width="14" customWidth="1" style="66" min="4" max="4"/>
    <col width="60" customWidth="1" style="66" min="5" max="5"/>
  </cols>
  <sheetData>
    <row r="1" ht="17.25" customHeight="1" s="67">
      <c r="B1" s="68" t="inlineStr">
        <is>
          <t>GLOBAL ASSUMPTIONS</t>
        </is>
      </c>
    </row>
    <row r="2" ht="15" customHeight="1" s="67">
      <c r="B2" s="69" t="inlineStr">
        <is>
          <t>Yellow = key knobs. Change these to rebalance the whole model.</t>
        </is>
      </c>
    </row>
    <row r="4" ht="15" customHeight="1" s="67">
      <c r="B4" s="72" t="inlineStr">
        <is>
          <t>Parameter</t>
        </is>
      </c>
      <c r="C4" s="72" t="inlineStr">
        <is>
          <t>Value</t>
        </is>
      </c>
      <c r="D4" s="72" t="inlineStr">
        <is>
          <t>Unit</t>
        </is>
      </c>
      <c r="E4" s="72" t="inlineStr">
        <is>
          <t>Notes / why it matters</t>
        </is>
      </c>
    </row>
    <row r="5" ht="15" customHeight="1" s="67">
      <c r="B5" s="73" t="inlineStr">
        <is>
          <t>Tick rate</t>
        </is>
      </c>
      <c r="C5" s="74" t="n">
        <v>1</v>
      </c>
      <c r="D5" s="75" t="inlineStr">
        <is>
          <t>ticks/sec</t>
        </is>
      </c>
      <c r="E5" s="76" t="inlineStr">
        <is>
          <t>Production resolves per second. Keep at 1 for design clarity.</t>
        </is>
      </c>
    </row>
    <row r="6" ht="15" customHeight="1" s="67">
      <c r="B6" s="77" t="inlineStr">
        <is>
          <t>Session length (active)</t>
        </is>
      </c>
      <c r="C6" s="74" t="n">
        <v>5</v>
      </c>
      <c r="D6" s="78" t="inlineStr">
        <is>
          <t>minutes</t>
        </is>
      </c>
      <c r="E6" s="79" t="inlineStr">
        <is>
          <t>Typical active session for ADHD-first design. Used in Production_Sim.</t>
        </is>
      </c>
    </row>
    <row r="7" ht="15" customHeight="1" s="67">
      <c r="B7" s="73" t="inlineStr">
        <is>
          <t>Offline cap</t>
        </is>
      </c>
      <c r="C7" s="74" t="n">
        <v>8</v>
      </c>
      <c r="D7" s="75" t="inlineStr">
        <is>
          <t>hours</t>
        </is>
      </c>
      <c r="E7" s="76" t="inlineStr">
        <is>
          <t>Max offline accrual. A return trigger, NOT a punishment (Gamigion 2025).</t>
        </is>
      </c>
    </row>
    <row r="8" ht="15" customHeight="1" s="67">
      <c r="B8" s="77" t="inlineStr">
        <is>
          <t>Offline efficiency</t>
        </is>
      </c>
      <c r="C8" s="74" t="n">
        <v>0.5</v>
      </c>
      <c r="D8" s="78" t="inlineStr">
        <is>
          <t>x</t>
        </is>
      </c>
      <c r="E8" s="79" t="inlineStr">
        <is>
          <t>Offline earns this fraction of online rate. 0.5 = half-rate while away.</t>
        </is>
      </c>
    </row>
    <row r="9" ht="21.75" customHeight="1" s="67">
      <c r="B9" s="73" t="inlineStr">
        <is>
          <t>Global cost multiplier</t>
        </is>
      </c>
      <c r="C9" s="74" t="n">
        <v>1.1</v>
      </c>
      <c r="D9" s="75" t="inlineStr">
        <is>
          <t>x</t>
        </is>
      </c>
      <c r="E9" s="76" t="inlineStr">
        <is>
          <t>DEFAULT growth base for cost curves. 1.07=gentle (Clicker Heroes), 1.15=steep (Cookie Clicker).</t>
        </is>
      </c>
    </row>
    <row r="10" ht="15" customHeight="1" s="67">
      <c r="B10" s="77" t="inlineStr">
        <is>
          <t>Manual click yield</t>
        </is>
      </c>
      <c r="C10" s="74" t="n">
        <v>1</v>
      </c>
      <c r="D10" s="78" t="inlineStr">
        <is>
          <t>CC/click</t>
        </is>
      </c>
      <c r="E10" s="79" t="inlineStr">
        <is>
          <t>1 CC/tap. Real players mash 5-8 taps/s -&gt; first vassal in ~8s. Manual phase is intentionally tiny.</t>
        </is>
      </c>
    </row>
    <row r="11" ht="15" customHeight="1" s="67">
      <c r="B11" s="73" t="inlineStr">
        <is>
          <t>Prestige curve power</t>
        </is>
      </c>
      <c r="C11" s="74" t="n">
        <v>0.5</v>
      </c>
      <c r="D11" s="75" t="inlineStr">
        <is>
          <t>exp</t>
        </is>
      </c>
      <c r="E11" s="76" t="inlineStr">
        <is>
          <t>Stamp = (LifetimeCC / divisor) ^ power. 0.5 = sqrt = strong diminishing returns.</t>
        </is>
      </c>
    </row>
    <row r="12" ht="15" customHeight="1" s="67">
      <c r="B12" s="77" t="inlineStr">
        <is>
          <t>Prestige divisor</t>
        </is>
      </c>
      <c r="C12" s="74" t="n">
        <v>1000000000</v>
      </c>
      <c r="D12" s="78" t="inlineStr">
        <is>
          <t>CC</t>
        </is>
      </c>
      <c r="E12" s="79" t="inlineStr">
        <is>
          <t>Lowered so stamps accrue often. Stamp=(lifetimeCC/div)^power.</t>
        </is>
      </c>
    </row>
    <row r="13" ht="15" customHeight="1" s="67">
      <c r="B13" s="73" t="inlineStr">
        <is>
          <t>Stamp buff per stamp</t>
        </is>
      </c>
      <c r="C13" s="74" t="n">
        <v>0.6</v>
      </c>
      <c r="D13" s="75" t="inlineStr">
        <is>
          <t>x/stamp</t>
        </is>
      </c>
      <c r="E13" s="76" t="inlineStr">
        <is>
          <t>+2% each, but stamps are far more plentiful (low divisor) -&gt; frequent dopamine ticks.</t>
        </is>
      </c>
    </row>
    <row r="14" ht="21.75" customHeight="1" s="67">
      <c r="B14" s="77" t="inlineStr">
        <is>
          <t>Rewarded ad multiplier</t>
        </is>
      </c>
      <c r="C14" s="74" t="n">
        <v>2</v>
      </c>
      <c r="D14" s="78" t="inlineStr">
        <is>
          <t>x</t>
        </is>
      </c>
      <c r="E14" s="79" t="inlineStr">
        <is>
          <t>Watch ad -&gt; double offline haul or skip a war timer (MAF: rewarded video is key format).</t>
        </is>
      </c>
    </row>
    <row r="17" ht="15" customHeight="1" s="67">
      <c r="B17" s="70" t="inlineStr">
        <is>
          <t>CURRENCY LEGEND</t>
        </is>
      </c>
    </row>
    <row r="18" ht="15" customHeight="1" s="67">
      <c r="B18" s="72" t="inlineStr">
        <is>
          <t>Currency</t>
        </is>
      </c>
      <c r="C18" s="72" t="inlineStr">
        <is>
          <t>Role</t>
        </is>
      </c>
      <c r="D18" s="72" t="inlineStr">
        <is>
          <t>Tier</t>
        </is>
      </c>
      <c r="E18" s="72" t="inlineStr">
        <is>
          <t>Source</t>
        </is>
      </c>
    </row>
    <row r="19" ht="15" customHeight="1" s="67">
      <c r="B19" s="80" t="inlineStr">
        <is>
          <t>Cyber Crystal (CC)</t>
        </is>
      </c>
      <c r="C19" s="81" t="inlineStr">
        <is>
          <t>Main currency</t>
        </is>
      </c>
      <c r="D19" s="81" t="inlineStr">
        <is>
          <t>Core</t>
        </is>
      </c>
      <c r="E19" s="80" t="inlineStr">
        <is>
          <t>Everything; vassal production</t>
        </is>
      </c>
    </row>
    <row r="20" ht="15" customHeight="1" s="67">
      <c r="B20" s="82" t="inlineStr">
        <is>
          <t>Sun Drips</t>
        </is>
      </c>
      <c r="C20" s="83" t="inlineStr">
        <is>
          <t>Aux resource</t>
        </is>
      </c>
      <c r="D20" s="83" t="inlineStr">
        <is>
          <t>Core</t>
        </is>
      </c>
      <c r="E20" s="82" t="inlineStr">
        <is>
          <t>Only certain regions produce it</t>
        </is>
      </c>
    </row>
    <row r="21" ht="15" customHeight="1" s="67">
      <c r="B21" s="80" t="inlineStr">
        <is>
          <t>Pepper Melange</t>
        </is>
      </c>
      <c r="C21" s="81" t="inlineStr">
        <is>
          <t>Aux resource</t>
        </is>
      </c>
      <c r="D21" s="81" t="inlineStr">
        <is>
          <t>Core</t>
        </is>
      </c>
      <c r="E21" s="80" t="inlineStr">
        <is>
          <t>Only certain regions produce it</t>
        </is>
      </c>
    </row>
    <row r="22" ht="15" customHeight="1" s="67">
      <c r="B22" s="82" t="inlineStr">
        <is>
          <t>Red Pill</t>
        </is>
      </c>
      <c r="C22" s="83" t="inlineStr">
        <is>
          <t>War currency</t>
        </is>
      </c>
      <c r="D22" s="83" t="inlineStr">
        <is>
          <t>Conquest</t>
        </is>
      </c>
      <c r="E22" s="82" t="inlineStr">
        <is>
          <t>Used to enlist Mech-Bros</t>
        </is>
      </c>
    </row>
    <row r="23" ht="15" customHeight="1" s="67">
      <c r="B23" s="80" t="inlineStr">
        <is>
          <t>Mech-Bro</t>
        </is>
      </c>
      <c r="C23" s="81" t="inlineStr">
        <is>
          <t>War unit</t>
        </is>
      </c>
      <c r="D23" s="81" t="inlineStr">
        <is>
          <t>Conquest</t>
        </is>
      </c>
      <c r="E23" s="80" t="inlineStr">
        <is>
          <t>Disposable; enlisted with Red Pill</t>
        </is>
      </c>
    </row>
    <row r="24" ht="15" customHeight="1" s="67">
      <c r="B24" s="82" t="inlineStr">
        <is>
          <t>Abdication Stamp</t>
        </is>
      </c>
      <c r="C24" s="83" t="inlineStr">
        <is>
          <t>Prestige unit</t>
        </is>
      </c>
      <c r="D24" s="83" t="inlineStr">
        <is>
          <t>Prestige</t>
        </is>
      </c>
      <c r="E24" s="82" t="inlineStr">
        <is>
          <t>Earned on prestige; permanent buff</t>
        </is>
      </c>
    </row>
    <row r="25" ht="15" customHeight="1" s="67">
      <c r="B25" s="80" t="inlineStr">
        <is>
          <t>Dark Matter</t>
        </is>
      </c>
      <c r="C25" s="81" t="inlineStr">
        <is>
          <t>Mid-game special</t>
        </is>
      </c>
      <c r="D25" s="81" t="inlineStr">
        <is>
          <t>Prestige</t>
        </is>
      </c>
      <c r="E25" s="80" t="inlineStr">
        <is>
          <t>Function TBD (open question)</t>
        </is>
      </c>
    </row>
    <row r="27" ht="15" customHeight="1" s="67">
      <c r="B27" s="84" t="inlineStr">
        <is>
          <t>WAR / GALAXY ASSUMPTIONS</t>
        </is>
      </c>
    </row>
    <row r="28" ht="15" customHeight="1" s="67">
      <c r="B28" s="72" t="inlineStr">
        <is>
          <t>Parameter</t>
        </is>
      </c>
      <c r="C28" s="72" t="inlineStr">
        <is>
          <t>Value</t>
        </is>
      </c>
      <c r="D28" s="72" t="inlineStr">
        <is>
          <t>Unit</t>
        </is>
      </c>
      <c r="E28" s="72" t="inlineStr">
        <is>
          <t>Notes / why it matters</t>
        </is>
      </c>
    </row>
    <row r="29" ht="15" customHeight="1" s="67">
      <c r="B29" s="73" t="inlineStr">
        <is>
          <t>Base war timer (hrs)</t>
        </is>
      </c>
      <c r="C29" s="74" t="n">
        <v>6</v>
      </c>
      <c r="D29" s="75" t="inlineStr">
        <is>
          <t>hours</t>
        </is>
      </c>
      <c r="E29" s="76" t="inlineStr">
        <is>
          <t>Tier-1 conquest timer. Scales up by tier. Test 6-16h.</t>
        </is>
      </c>
    </row>
    <row r="30" ht="15" customHeight="1" s="67">
      <c r="B30" s="77" t="inlineStr">
        <is>
          <t>Red Pill per Mech-Bro</t>
        </is>
      </c>
      <c r="C30" s="74" t="n">
        <v>25</v>
      </c>
      <c r="D30" s="78" t="inlineStr">
        <is>
          <t>RedPill</t>
        </is>
      </c>
      <c r="E30" s="79" t="inlineStr">
        <is>
          <t>Enlist cost per unit before discounts.</t>
        </is>
      </c>
    </row>
    <row r="31" ht="21.75" customHeight="1" s="67">
      <c r="B31" s="73" t="inlineStr">
        <is>
          <t>Tier cost scale</t>
        </is>
      </c>
      <c r="C31" s="74" t="n">
        <v>4</v>
      </c>
      <c r="D31" s="75" t="inlineStr">
        <is>
          <t>x</t>
        </is>
      </c>
      <c r="E31" s="76" t="inlineStr">
        <is>
          <t>Each sector tier multiplies Red Pill/Mech-Bro need by this. Big number = weeks to clear.</t>
        </is>
      </c>
    </row>
    <row r="32" ht="21.75" customHeight="1" s="67">
      <c r="B32" s="77" t="inlineStr">
        <is>
          <t>Tier output scale</t>
        </is>
      </c>
      <c r="C32" s="74" t="n">
        <v>3</v>
      </c>
      <c r="D32" s="78" t="inlineStr">
        <is>
          <t>x</t>
        </is>
      </c>
      <c r="E32" s="79" t="inlineStr">
        <is>
          <t>Each tier multiplies region resource output. Slightly &lt; cost scale -&gt; later sectors are a stretch.</t>
        </is>
      </c>
    </row>
    <row r="33" ht="15" customHeight="1" s="67">
      <c r="B33" s="73" t="inlineStr">
        <is>
          <t>Tier timer scale</t>
        </is>
      </c>
      <c r="C33" s="74" t="n">
        <v>1.5</v>
      </c>
      <c r="D33" s="75" t="inlineStr">
        <is>
          <t>x</t>
        </is>
      </c>
      <c r="E33" s="76" t="inlineStr">
        <is>
          <t>Each tier multiplies war timer. Outer sectors take much longer.</t>
        </is>
      </c>
    </row>
    <row r="34" ht="15" customHeight="1" s="67">
      <c r="B34" s="77" t="inlineStr">
        <is>
          <t>Sector unlock %</t>
        </is>
      </c>
      <c r="C34" s="74" t="n">
        <v>0.6</v>
      </c>
      <c r="D34" s="78" t="inlineStr">
        <is>
          <t>%</t>
        </is>
      </c>
      <c r="E34" s="79" t="inlineStr">
        <is>
          <t>Must conquer this fraction of a sector's regions to unlock the next.</t>
        </is>
      </c>
    </row>
    <row r="35" ht="15" customHeight="1" s="67">
      <c r="B35" s="73" t="inlineStr">
        <is>
          <t>Sun Drips -&gt; CC boost</t>
        </is>
      </c>
      <c r="C35" s="74" t="n">
        <v>0.005</v>
      </c>
      <c r="D35" s="75" t="inlineStr">
        <is>
          <t>x per unit/s</t>
        </is>
      </c>
      <c r="E35" s="76" t="inlineStr">
        <is>
          <t>TINY global boost (0.5%/drip) as a deliberate lever toward prestige threshold. NOT the old +10% runaway.</t>
        </is>
      </c>
    </row>
    <row r="36" ht="15" customHeight="1" s="67">
      <c r="B36" s="77" t="inlineStr">
        <is>
          <t>Melange -&gt; compound rate</t>
        </is>
      </c>
      <c r="C36" s="74" t="n">
        <v>0.05</v>
      </c>
      <c r="D36" s="78" t="inlineStr">
        <is>
          <t>x per unit/s</t>
        </is>
      </c>
      <c r="E36" s="79" t="inlineStr">
        <is>
          <t>Each Melange/sec converts CC into compound tier at this rate (feeds late CC).</t>
        </is>
      </c>
    </row>
    <row r="37" ht="15" customHeight="1" s="67">
      <c r="B37" s="73" t="inlineStr">
        <is>
          <t>Galaxy total regions</t>
        </is>
      </c>
      <c r="C37" s="74" t="n">
        <v>50</v>
      </c>
      <c r="D37" s="75" t="inlineStr">
        <is>
          <t>regions</t>
        </is>
      </c>
      <c r="E37" s="76" t="inlineStr">
        <is>
          <t>Total conquerable regions across all sectors. Big = full conquest takes weeks.</t>
        </is>
      </c>
    </row>
    <row r="39" ht="15" customHeight="1" s="67">
      <c r="B39" s="84" t="inlineStr">
        <is>
          <t>FLEET / TRANSIT VISA ASSUMPTIONS</t>
        </is>
      </c>
    </row>
    <row r="40" ht="15" customHeight="1" s="67">
      <c r="B40" s="72" t="inlineStr">
        <is>
          <t>Parameter</t>
        </is>
      </c>
      <c r="C40" s="72" t="inlineStr">
        <is>
          <t>Value</t>
        </is>
      </c>
      <c r="D40" s="72" t="inlineStr">
        <is>
          <t>Unit</t>
        </is>
      </c>
      <c r="E40" s="72" t="inlineStr">
        <is>
          <t>Notes</t>
        </is>
      </c>
    </row>
    <row r="41" ht="15" customHeight="1" s="67">
      <c r="B41" s="73" t="inlineStr">
        <is>
          <t>CC per Transit Visa</t>
        </is>
      </c>
      <c r="C41" s="74" t="n">
        <v>100</v>
      </c>
      <c r="D41" s="75" t="inlineStr">
        <is>
          <t>CC/Visa</t>
        </is>
      </c>
      <c r="E41" s="76" t="inlineStr">
        <is>
          <t>Steep conversion. Transit Visas gate the fleet. Comedy: paperwork, not physics.</t>
        </is>
      </c>
    </row>
    <row r="42" ht="15" customHeight="1" s="67">
      <c r="B42" s="77" t="inlineStr">
        <is>
          <t>Connection buff per link</t>
        </is>
      </c>
      <c r="C42" s="74" t="n">
        <v>0.03</v>
      </c>
      <c r="D42" s="78" t="inlineStr">
        <is>
          <t>x/link</t>
        </is>
      </c>
      <c r="E42" s="79" t="inlineStr">
        <is>
          <t>Per-system, LOCAL buff to that system's own output. Not global.</t>
        </is>
      </c>
    </row>
    <row r="43" ht="15" customHeight="1" s="67">
      <c r="B43" s="73" t="inlineStr">
        <is>
          <t>Max links counted/system</t>
        </is>
      </c>
      <c r="C43" s="74" t="n">
        <v>3</v>
      </c>
      <c r="D43" s="75" t="inlineStr">
        <is>
          <t>links</t>
        </is>
      </c>
      <c r="E43" s="76" t="inlineStr">
        <is>
          <t>Per-system cap. A system benefits from at most its 3 strongest links.</t>
        </is>
      </c>
    </row>
    <row r="44" ht="15" customHeight="1" s="67">
      <c r="B44" s="77" t="inlineStr">
        <is>
          <t>Supply-line bonus (linked same-type)</t>
        </is>
      </c>
      <c r="C44" s="74" t="n">
        <v>0.05</v>
      </c>
      <c r="D44" s="78" t="inlineStr">
        <is>
          <t>x/pair</t>
        </is>
      </c>
      <c r="E44" s="79" t="inlineStr">
        <is>
          <t>+5% when two conquered Sun Drips systems are connected to each other. Rewards contiguous territory.</t>
        </is>
      </c>
    </row>
    <row r="45" ht="15" customHeight="1" s="67">
      <c r="B45" s="73" t="inlineStr">
        <is>
          <t>Upgrade cost growth</t>
        </is>
      </c>
      <c r="C45" s="74" t="n">
        <v>2</v>
      </c>
      <c r="D45" s="75" t="inlineStr">
        <is>
          <t>x/level</t>
        </is>
      </c>
      <c r="E45" s="76" t="inlineStr">
        <is>
          <t>Each upgrade level costs this much more. 2x = impactful, finite-feeling.</t>
        </is>
      </c>
    </row>
    <row r="47" ht="15" customHeight="1" s="67">
      <c r="B47" s="84" t="inlineStr">
        <is>
          <t>TIERED RESOURCE LADDER ASSUMPTIONS</t>
        </is>
      </c>
    </row>
    <row r="48" ht="15" customHeight="1" s="67">
      <c r="B48" s="72" t="inlineStr">
        <is>
          <t>Parameter</t>
        </is>
      </c>
      <c r="C48" s="72" t="inlineStr">
        <is>
          <t>Value</t>
        </is>
      </c>
      <c r="D48" s="72" t="inlineStr">
        <is>
          <t>Unit</t>
        </is>
      </c>
      <c r="E48" s="72" t="inlineStr">
        <is>
          <t>Notes</t>
        </is>
      </c>
    </row>
    <row r="49" ht="21.75" customHeight="1" s="67">
      <c r="B49" s="73" t="inlineStr">
        <is>
          <t>Resource rate step</t>
        </is>
      </c>
      <c r="C49" s="74" t="n">
        <v>3</v>
      </c>
      <c r="D49" s="75" t="inlineStr">
        <is>
          <t>x/tier</t>
        </is>
      </c>
      <c r="E49" s="76" t="inlineStr">
        <is>
          <t>Each conquered tier's resource produces this much faster than the previous tier's.</t>
        </is>
      </c>
    </row>
    <row r="50" ht="21.75" customHeight="1" s="67">
      <c r="B50" s="77" t="inlineStr">
        <is>
          <t>Curve flatten point</t>
        </is>
      </c>
      <c r="C50" s="74" t="n">
        <v>0.7</v>
      </c>
      <c r="D50" s="78" t="inlineStr">
        <is>
          <t>frac</t>
        </is>
      </c>
      <c r="E50" s="79" t="inlineStr">
        <is>
          <t>Fraction of a tier's value reached before growth visibly flattens -&gt; signals 'go conquer next'.</t>
        </is>
      </c>
    </row>
    <row r="51" ht="21.75" customHeight="1" s="67">
      <c r="B51" s="73" t="inlineStr">
        <is>
          <t>Dark Matter yield (Fringe)</t>
        </is>
      </c>
      <c r="C51" s="74" t="n">
        <v>0.001</v>
      </c>
      <c r="D51" s="75" t="inlineStr">
        <is>
          <t>DM/s per unit</t>
        </is>
      </c>
      <c r="E51" s="76" t="inlineStr">
        <is>
          <t>Fringe resource converts to Dark Matter at this rate. DM = prestige-tier multiplier fuel.</t>
        </is>
      </c>
    </row>
    <row r="53" ht="15" customHeight="1" s="67">
      <c r="B53" s="84" t="inlineStr">
        <is>
          <t>RED PILL ECONOMY ASSUMPTIONS</t>
        </is>
      </c>
    </row>
    <row r="54" ht="15" customHeight="1" s="67">
      <c r="B54" s="85" t="inlineStr">
        <is>
          <t>Parameter</t>
        </is>
      </c>
      <c r="C54" s="85" t="inlineStr">
        <is>
          <t>Value</t>
        </is>
      </c>
      <c r="D54" s="85" t="inlineStr">
        <is>
          <t>Unit</t>
        </is>
      </c>
      <c r="E54" s="85" t="inlineStr">
        <is>
          <t>Notes</t>
        </is>
      </c>
    </row>
    <row r="55" ht="15" customHeight="1" s="67">
      <c r="B55" s="86" t="inlineStr">
        <is>
          <t>CC-&gt;Red Pill primer rate</t>
        </is>
      </c>
      <c r="C55" s="87" t="n">
        <v>2e-05</v>
      </c>
      <c r="D55" s="88" t="inlineStr">
        <is>
          <t>RP per CC/s</t>
        </is>
      </c>
      <c r="E55" s="89" t="inlineStr">
        <is>
          <t>Bootstrap ONLY ~1 early conquest. Region drops dominate after. (tuned down from 0.01)</t>
        </is>
      </c>
    </row>
    <row r="56" ht="15" customHeight="1" s="67">
      <c r="B56" s="90" t="inlineStr">
        <is>
          <t>Region Red Pill drop (tier1)</t>
        </is>
      </c>
      <c r="C56" s="87" t="n">
        <v>2</v>
      </c>
      <c r="D56" s="91" t="inlineStr">
        <is>
          <t>RP/s</t>
        </is>
      </c>
      <c r="E56" s="92" t="inlineStr">
        <is>
          <t>Base Red Pill income per conquered Tier-1 region.</t>
        </is>
      </c>
    </row>
    <row r="57" ht="21.75" customHeight="1" s="67">
      <c r="B57" s="86" t="inlineStr">
        <is>
          <t>Red Pill tier scale</t>
        </is>
      </c>
      <c r="C57" s="87" t="n">
        <v>3</v>
      </c>
      <c r="D57" s="88" t="inlineStr">
        <is>
          <t>x/tier</t>
        </is>
      </c>
      <c r="E57" s="89" t="inlineStr">
        <is>
          <t>Each tier deeper pays this much more Red Pill. Snowball: deeper war funds deeper war.</t>
        </is>
      </c>
    </row>
    <row r="58" ht="21.75" customHeight="1" s="67">
      <c r="B58" s="86" t="inlineStr">
        <is>
          <t>Resource-region RP modifier</t>
        </is>
      </c>
      <c r="C58" s="87" t="n">
        <v>0.4</v>
      </c>
      <c r="D58" s="88" t="inlineStr">
        <is>
          <t>x</t>
        </is>
      </c>
      <c r="E58" s="89" t="inlineStr">
        <is>
          <t>Sun Drips / Melange regions pay only this fraction of Red Pill. Economy OR war, rarely both.</t>
        </is>
      </c>
    </row>
    <row r="59">
      <c r="B59" s="66" t="inlineStr">
        <is>
          <t>Red Pill primer cap</t>
        </is>
      </c>
      <c r="C59" s="66" t="n">
        <v>2</v>
      </c>
    </row>
    <row r="60" ht="15" customHeight="1" s="67">
      <c r="B60" s="84" t="inlineStr">
        <is>
          <t>PRESTIGE &amp; RESEARCH ASSUMPTIONS</t>
        </is>
      </c>
    </row>
    <row r="61" ht="15" customHeight="1" s="67">
      <c r="B61" s="72" t="inlineStr">
        <is>
          <t>Parameter</t>
        </is>
      </c>
      <c r="C61" s="72" t="inlineStr">
        <is>
          <t>Value</t>
        </is>
      </c>
      <c r="D61" s="72" t="inlineStr">
        <is>
          <t>Unit</t>
        </is>
      </c>
      <c r="E61" s="72" t="inlineStr">
        <is>
          <t>Notes</t>
        </is>
      </c>
    </row>
    <row r="62" ht="15" customHeight="1" s="67">
      <c r="B62" s="77" t="inlineStr">
        <is>
          <t>First-prestige buff</t>
        </is>
      </c>
      <c r="C62" s="74" t="n">
        <v>0.5</v>
      </c>
      <c r="D62" s="78" t="inlineStr">
        <is>
          <t>x</t>
        </is>
      </c>
      <c r="E62" s="79" t="inlineStr">
        <is>
          <t>Gentler +50% (first run already gives a lot). Per-stamp buff stacks on top.</t>
        </is>
      </c>
    </row>
    <row r="63" ht="15" customHeight="1" s="67">
      <c r="B63" s="73" t="inlineStr">
        <is>
          <t>Dormant territory rate</t>
        </is>
      </c>
      <c r="C63" s="74" t="n">
        <v>0.25</v>
      </c>
      <c r="D63" s="75" t="inlineStr">
        <is>
          <t>frac</t>
        </is>
      </c>
      <c r="E63" s="76" t="inlineStr">
        <is>
          <t>On prestige, kept planets produce this fraction until economy re-ramps.</t>
        </is>
      </c>
    </row>
    <row r="64" ht="15" customHeight="1" s="67">
      <c r="B64" s="77" t="inlineStr">
        <is>
          <t>Research speed mult</t>
        </is>
      </c>
      <c r="C64" s="74" t="n">
        <v>1</v>
      </c>
      <c r="D64" s="78" t="inlineStr">
        <is>
          <t>x</t>
        </is>
      </c>
      <c r="E64" s="79" t="inlineStr">
        <is>
          <t>Global research timer multiplier. Vassals/upgrades can reduce later.</t>
        </is>
      </c>
    </row>
    <row r="66" ht="15" customHeight="1" s="67">
      <c r="B66" s="84" t="inlineStr">
        <is>
          <t>COMBAT SCALING &amp; SHIP RANGE</t>
        </is>
      </c>
    </row>
    <row r="67" ht="15" customHeight="1" s="67">
      <c r="B67" s="85" t="inlineStr">
        <is>
          <t>Parameter</t>
        </is>
      </c>
      <c r="C67" s="85" t="inlineStr">
        <is>
          <t>Value</t>
        </is>
      </c>
      <c r="D67" s="85" t="inlineStr">
        <is>
          <t>Unit</t>
        </is>
      </c>
      <c r="E67" s="85" t="inlineStr">
        <is>
          <t>Notes</t>
        </is>
      </c>
    </row>
    <row r="68" ht="21.75" customHeight="1" s="67">
      <c r="B68" s="90" t="inlineStr">
        <is>
          <t>Mech-Bro tier scale</t>
        </is>
      </c>
      <c r="C68" s="87" t="n">
        <v>5</v>
      </c>
      <c r="D68" s="91" t="inlineStr">
        <is>
          <t>x/tier</t>
        </is>
      </c>
      <c r="E68" s="92" t="inlineStr">
        <is>
          <t>x5 per tier. Base 8 -&gt; Fringe ~5000 Mech-Bros. The hard army wall.</t>
        </is>
      </c>
    </row>
    <row r="69" ht="15" customHeight="1" s="67">
      <c r="B69" s="86" t="inlineStr">
        <is>
          <t>Mech-Bro base (tier1)</t>
        </is>
      </c>
      <c r="C69" s="87" t="n">
        <v>8</v>
      </c>
      <c r="D69" s="88" t="inlineStr">
        <is>
          <t>bros</t>
        </is>
      </c>
      <c r="E69" s="89" t="inlineStr">
        <is>
          <t>Base 8 Mech-Bros for tier-1. x5/tier -&gt; tier5 ~5000.</t>
        </is>
      </c>
    </row>
    <row r="71" ht="15" customHeight="1" s="67">
      <c r="B71" s="84" t="inlineStr">
        <is>
          <t>FACTIONS &amp; CAPITALS</t>
        </is>
      </c>
    </row>
    <row r="72" ht="15" customHeight="1" s="67">
      <c r="B72" s="85" t="inlineStr">
        <is>
          <t>Parameter</t>
        </is>
      </c>
      <c r="C72" s="85" t="inlineStr">
        <is>
          <t>Value</t>
        </is>
      </c>
      <c r="D72" s="85" t="inlineStr">
        <is>
          <t>Unit</t>
        </is>
      </c>
      <c r="E72" s="85" t="inlineStr">
        <is>
          <t>Notes</t>
        </is>
      </c>
    </row>
    <row r="73" ht="15" customHeight="1" s="67">
      <c r="B73" s="86" t="inlineStr">
        <is>
          <t>Capital army base mult</t>
        </is>
      </c>
      <c r="C73" s="87" t="n">
        <v>5</v>
      </c>
      <c r="D73" s="88" t="inlineStr">
        <is>
          <t>x</t>
        </is>
      </c>
      <c r="E73" s="89" t="inlineStr">
        <is>
          <t>Inner faction capital = 5x its normal region army. Scales deeper.</t>
        </is>
      </c>
    </row>
    <row r="74" ht="15" customHeight="1" s="67">
      <c r="B74" s="90" t="inlineStr">
        <is>
          <t>Capital mult per tier</t>
        </is>
      </c>
      <c r="C74" s="87" t="n">
        <v>1.5</v>
      </c>
      <c r="D74" s="91" t="inlineStr">
        <is>
          <t>x/tier</t>
        </is>
      </c>
      <c r="E74" s="92" t="inlineStr">
        <is>
          <t>Capital multiplier grows per faction tier -&gt; Fringe capital ~20x (true boss).</t>
        </is>
      </c>
    </row>
    <row r="75" ht="15" customHeight="1" s="67">
      <c r="B75" s="86" t="inlineStr">
        <is>
          <t>Capital unlocks next sector</t>
        </is>
      </c>
      <c r="C75" s="87" t="n">
        <v>1</v>
      </c>
      <c r="D75" s="88" t="inlineStr">
        <is>
          <t>bool</t>
        </is>
      </c>
      <c r="E75" s="89" t="inlineStr">
        <is>
          <t>Taking a capital eliminates the faction and opens the next sector.</t>
        </is>
      </c>
    </row>
    <row r="77" ht="15" customHeight="1" s="67">
      <c r="B77" s="84" t="inlineStr">
        <is>
          <t>TIER-RESOURCE PRODUCTION SINKS</t>
        </is>
      </c>
    </row>
    <row r="78" ht="15" customHeight="1" s="67">
      <c r="B78" s="85" t="inlineStr">
        <is>
          <t>Parameter</t>
        </is>
      </c>
      <c r="C78" s="85" t="inlineStr">
        <is>
          <t>Value</t>
        </is>
      </c>
      <c r="D78" s="85" t="inlineStr">
        <is>
          <t>Unit</t>
        </is>
      </c>
      <c r="E78" s="85" t="inlineStr">
        <is>
          <t>Notes</t>
        </is>
      </c>
    </row>
    <row r="79" ht="21.75" customHeight="1" s="67">
      <c r="B79" s="86" t="inlineStr">
        <is>
          <t>Resource-region prod bonus</t>
        </is>
      </c>
      <c r="C79" s="87" t="n">
        <v>0.03</v>
      </c>
      <c r="D79" s="88" t="inlineStr">
        <is>
          <t>x/region</t>
        </is>
      </c>
      <c r="E79" s="89" t="inlineStr">
        <is>
          <t>Each conquered RESOURCE region grants +3% CC production. Kills the mid-run plateau.</t>
        </is>
      </c>
    </row>
    <row r="80" ht="15" customHeight="1" s="67">
      <c r="B80" s="90" t="inlineStr">
        <is>
          <t>Prod bonus diminish</t>
        </is>
      </c>
      <c r="C80" s="87" t="n">
        <v>0.85</v>
      </c>
      <c r="D80" s="91" t="inlineStr">
        <is>
          <t>decay</t>
        </is>
      </c>
      <c r="E80" s="92" t="inlineStr">
        <is>
          <t>Each successive resource region worth this^n of the last. Bounded, no runaway.</t>
        </is>
      </c>
    </row>
    <row r="81" ht="15" customHeight="1" s="67">
      <c r="B81" s="86" t="inlineStr">
        <is>
          <t>Tier2 res -&gt; Visa discount</t>
        </is>
      </c>
      <c r="C81" s="87" t="n">
        <v>0.02</v>
      </c>
      <c r="D81" s="88" t="inlineStr">
        <is>
          <t>x/region</t>
        </is>
      </c>
      <c r="E81" s="89" t="inlineStr">
        <is>
          <t>Tier-2 resource regions: each cuts Visa cost slightly (fleet compounds).</t>
        </is>
      </c>
    </row>
    <row r="82" ht="21.75" customHeight="1" s="67">
      <c r="B82" s="90" t="inlineStr">
        <is>
          <t>Tier4 res -&gt; CC mult</t>
        </is>
      </c>
      <c r="C82" s="87" t="n">
        <v>0.05</v>
      </c>
      <c r="D82" s="91" t="inlineStr">
        <is>
          <t>x/region</t>
        </is>
      </c>
      <c r="E82" s="92" t="inlineStr">
        <is>
          <t>Tier-4 resource regions: each adds +5% direct CC (deep conquest = rich economy).</t>
        </is>
      </c>
    </row>
    <row r="84">
      <c r="B84" s="66" t="inlineStr">
        <is>
          <t>Starting admirals</t>
        </is>
      </c>
      <c r="C84" s="66" t="n">
        <v>4</v>
      </c>
    </row>
    <row r="85">
      <c r="B85" s="66" t="inlineStr">
        <is>
          <t>Admiral capital tier gate</t>
        </is>
      </c>
      <c r="C85" s="66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I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22" customWidth="1" style="66" min="2" max="2"/>
    <col width="14" customWidth="1" style="66" min="3" max="4"/>
    <col width="16" customWidth="1" style="66" min="5" max="7"/>
    <col width="14" customWidth="1" style="66" min="8" max="8"/>
    <col width="38" customWidth="1" style="66" min="9" max="9"/>
  </cols>
  <sheetData>
    <row r="1" ht="17.25" customHeight="1" s="67">
      <c r="B1" s="68" t="inlineStr">
        <is>
          <t>VASSAL ROSTER</t>
        </is>
      </c>
    </row>
    <row r="2" ht="15" customHeight="1" s="67">
      <c r="B2" s="69" t="inlineStr">
        <is>
          <t>Each vassal: base cost, per-vassal cost multiplier, production. Manual until first owned -&gt; then automated.</t>
        </is>
      </c>
    </row>
    <row r="4" ht="15" customHeight="1" s="67">
      <c r="B4" s="72" t="inlineStr">
        <is>
          <t>Vassal</t>
        </is>
      </c>
      <c r="C4" s="72" t="inlineStr">
        <is>
          <t>Base Cost</t>
        </is>
      </c>
      <c r="D4" s="72" t="inlineStr">
        <is>
          <t>Cost Mult</t>
        </is>
      </c>
      <c r="E4" s="72" t="inlineStr">
        <is>
          <t>Produces</t>
        </is>
      </c>
      <c r="F4" s="72" t="inlineStr">
        <is>
          <t>Base Output</t>
        </is>
      </c>
      <c r="G4" s="72" t="inlineStr">
        <is>
          <t>Output Unit</t>
        </is>
      </c>
      <c r="H4" s="72" t="inlineStr">
        <is>
          <t>Unlock Req</t>
        </is>
      </c>
      <c r="I4" s="72" t="inlineStr">
        <is>
          <t>Notes</t>
        </is>
      </c>
    </row>
    <row r="5" ht="15" customHeight="1" s="67">
      <c r="B5" s="93" t="inlineStr">
        <is>
          <t>Lord Formsworth III</t>
        </is>
      </c>
      <c r="C5" s="94" t="n">
        <v>50</v>
      </c>
      <c r="D5" s="94" t="n">
        <v>1.1</v>
      </c>
      <c r="E5" s="75" t="inlineStr">
        <is>
          <t>Cyber Crystal</t>
        </is>
      </c>
      <c r="F5" s="94" t="n">
        <v>1.5</v>
      </c>
      <c r="G5" s="75" t="inlineStr">
        <is>
          <t>CC/sec</t>
        </is>
      </c>
      <c r="H5" s="94" t="n">
        <v>0</v>
      </c>
      <c r="I5" s="95" t="inlineStr">
        <is>
          <t>40 yrs filling one form. Entry automation.</t>
        </is>
      </c>
    </row>
    <row r="6" ht="15" customHeight="1" s="67">
      <c r="B6" s="96" t="inlineStr">
        <is>
          <t>Sun Scraper Brglx</t>
        </is>
      </c>
      <c r="C6" s="94" t="n">
        <v>500</v>
      </c>
      <c r="D6" s="94" t="n">
        <v>1.1</v>
      </c>
      <c r="E6" s="78" t="inlineStr">
        <is>
          <t>Sun Drips</t>
        </is>
      </c>
      <c r="F6" s="94" t="n">
        <v>2</v>
      </c>
      <c r="G6" s="78" t="inlineStr">
        <is>
          <t>Drips/sec</t>
        </is>
      </c>
      <c r="H6" s="94" t="n">
        <v>10</v>
      </c>
      <c r="I6" s="97" t="inlineStr">
        <is>
          <t>Needs 10 Formsworth. Automates Sun Drips.</t>
        </is>
      </c>
    </row>
    <row r="7" ht="15" customHeight="1" s="67">
      <c r="B7" s="93" t="inlineStr">
        <is>
          <t>Pepper Bakani Zyx</t>
        </is>
      </c>
      <c r="C7" s="94" t="n">
        <v>1500</v>
      </c>
      <c r="D7" s="94" t="n">
        <v>1.1</v>
      </c>
      <c r="E7" s="75" t="inlineStr">
        <is>
          <t>Pepper Melange</t>
        </is>
      </c>
      <c r="F7" s="94" t="n">
        <v>2.5</v>
      </c>
      <c r="G7" s="75" t="inlineStr">
        <is>
          <t>Melange/sec</t>
        </is>
      </c>
      <c r="H7" s="94" t="n">
        <v>0</v>
      </c>
      <c r="I7" s="95" t="inlineStr">
        <is>
          <t>+20% melange + region harvest auto.</t>
        </is>
      </c>
    </row>
    <row r="8" ht="15" customHeight="1" s="67">
      <c r="B8" s="96" t="inlineStr">
        <is>
          <t>Drood Komutani Vrrk</t>
        </is>
      </c>
      <c r="C8" s="94" t="n">
        <v>4000</v>
      </c>
      <c r="D8" s="94" t="n">
        <v>1.1</v>
      </c>
      <c r="E8" s="78" t="inlineStr">
        <is>
          <t>War Speed</t>
        </is>
      </c>
      <c r="F8" s="94" t="n">
        <v>3</v>
      </c>
      <c r="G8" s="78" t="inlineStr">
        <is>
          <t>hrs cut</t>
        </is>
      </c>
      <c r="H8" s="94" t="n">
        <v>0</v>
      </c>
      <c r="I8" s="97" t="inlineStr">
        <is>
          <t>Cuts war timer -3h. Not CC.</t>
        </is>
      </c>
    </row>
    <row r="9" ht="15" customHeight="1" s="67">
      <c r="B9" s="93" t="inlineStr">
        <is>
          <t>Galaktik HR Muduru</t>
        </is>
      </c>
      <c r="C9" s="94" t="n">
        <v>8000</v>
      </c>
      <c r="D9" s="94" t="n">
        <v>1.1</v>
      </c>
      <c r="E9" s="75" t="inlineStr">
        <is>
          <t>Red Pill Disc</t>
        </is>
      </c>
      <c r="F9" s="94" t="n">
        <v>0.15</v>
      </c>
      <c r="G9" s="75" t="inlineStr">
        <is>
          <t>cost -%</t>
        </is>
      </c>
      <c r="H9" s="94" t="n">
        <v>0</v>
      </c>
      <c r="I9" s="95" t="inlineStr">
        <is>
          <t>Red Pill cost -15%.</t>
        </is>
      </c>
    </row>
    <row r="10" ht="15" customHeight="1" s="67">
      <c r="B10" s="96" t="inlineStr">
        <is>
          <t>Abdication Arsivisti</t>
        </is>
      </c>
      <c r="C10" s="94" t="n">
        <v>25000</v>
      </c>
      <c r="D10" s="94" t="n">
        <v>1.1</v>
      </c>
      <c r="E10" s="78" t="inlineStr">
        <is>
          <t>Stamp Bonus</t>
        </is>
      </c>
      <c r="F10" s="94" t="n">
        <v>1</v>
      </c>
      <c r="G10" s="78" t="inlineStr">
        <is>
          <t>stamp +1</t>
        </is>
      </c>
      <c r="H10" s="94" t="n">
        <v>0</v>
      </c>
      <c r="I10" s="97" t="inlineStr">
        <is>
          <t>+1 Abdication Stamp per prestige.</t>
        </is>
      </c>
    </row>
    <row r="13" ht="15" customHeight="1" s="67">
      <c r="B13" s="69" t="inlineStr">
        <is>
          <t>Cost of Nth copy = Base Cost x Cost Mult ^ (copies already owned). See CostCurve_Sim.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6" customWidth="1" style="66" min="2" max="2"/>
    <col width="18" customWidth="1" style="66" min="3" max="3"/>
    <col width="20" customWidth="1" style="66" min="4" max="5"/>
    <col width="22" customWidth="1" style="66" min="6" max="6"/>
  </cols>
  <sheetData>
    <row r="1" ht="17.25" customHeight="1" s="67">
      <c r="B1" s="68" t="inlineStr">
        <is>
          <t>COST CURVE SIMULATOR</t>
        </is>
      </c>
    </row>
    <row r="2" ht="15" customHeight="1" s="67">
      <c r="B2" s="69" t="inlineStr">
        <is>
          <t>Pick a vassal's base cost &amp; multiplier below; see how buying 0..50 copies ramps cost.</t>
        </is>
      </c>
    </row>
    <row r="4" ht="15" customHeight="1" s="67">
      <c r="B4" s="70" t="inlineStr">
        <is>
          <t>Base Cost</t>
        </is>
      </c>
      <c r="C4" s="98">
        <f>Vassals!C5</f>
        <v/>
      </c>
      <c r="D4" s="69" t="inlineStr">
        <is>
          <t>(linked to Lord Formsworth III by default)</t>
        </is>
      </c>
    </row>
    <row r="5" ht="15" customHeight="1" s="67">
      <c r="B5" s="70" t="inlineStr">
        <is>
          <t>Cost Multiplier</t>
        </is>
      </c>
      <c r="C5" s="98">
        <f>Vassals!D5</f>
        <v/>
      </c>
    </row>
    <row r="7" ht="15" customHeight="1" s="67">
      <c r="B7" s="72" t="inlineStr">
        <is>
          <t>Copies Owned</t>
        </is>
      </c>
      <c r="C7" s="72" t="inlineStr">
        <is>
          <t>Cost of Next</t>
        </is>
      </c>
      <c r="D7" s="72" t="inlineStr">
        <is>
          <t>Cumulative Cost</t>
        </is>
      </c>
      <c r="E7" s="72" t="inlineStr">
        <is>
          <t>Output @ level</t>
        </is>
      </c>
      <c r="F7" s="72" t="inlineStr">
        <is>
          <t>Sec to afford next</t>
        </is>
      </c>
    </row>
    <row r="8" ht="15" customHeight="1" s="67">
      <c r="B8" s="99" t="n">
        <v>0</v>
      </c>
      <c r="C8" s="100">
        <f>$C$4*$C$5^B8</f>
        <v/>
      </c>
      <c r="D8" s="100">
        <f>C8</f>
        <v/>
      </c>
      <c r="E8" s="101">
        <f>(B8+1)*Vassals!$F$5</f>
        <v/>
      </c>
      <c r="F8" s="101">
        <f>C8/Vassals!$F$5</f>
        <v/>
      </c>
    </row>
    <row r="9" ht="15" customHeight="1" s="67">
      <c r="B9" s="102" t="n">
        <v>1</v>
      </c>
      <c r="C9" s="103">
        <f>$C$4*$C$5^B9</f>
        <v/>
      </c>
      <c r="D9" s="103">
        <f>D8+C9</f>
        <v/>
      </c>
      <c r="E9" s="104">
        <f>(B9+1)*Vassals!$F$5</f>
        <v/>
      </c>
      <c r="F9" s="104">
        <f>C9/((B9)*Vassals!$F$5)</f>
        <v/>
      </c>
    </row>
    <row r="10" ht="15" customHeight="1" s="67">
      <c r="B10" s="99" t="n">
        <v>2</v>
      </c>
      <c r="C10" s="100">
        <f>$C$4*$C$5^B10</f>
        <v/>
      </c>
      <c r="D10" s="100">
        <f>D9+C10</f>
        <v/>
      </c>
      <c r="E10" s="101">
        <f>(B10+1)*Vassals!$F$5</f>
        <v/>
      </c>
      <c r="F10" s="101">
        <f>C10/((B10)*Vassals!$F$5)</f>
        <v/>
      </c>
    </row>
    <row r="11" ht="15" customHeight="1" s="67">
      <c r="B11" s="102" t="n">
        <v>3</v>
      </c>
      <c r="C11" s="103">
        <f>$C$4*$C$5^B11</f>
        <v/>
      </c>
      <c r="D11" s="103">
        <f>D10+C11</f>
        <v/>
      </c>
      <c r="E11" s="104">
        <f>(B11+1)*Vassals!$F$5</f>
        <v/>
      </c>
      <c r="F11" s="104">
        <f>C11/((B11)*Vassals!$F$5)</f>
        <v/>
      </c>
    </row>
    <row r="12" ht="15" customHeight="1" s="67">
      <c r="B12" s="99" t="n">
        <v>4</v>
      </c>
      <c r="C12" s="100">
        <f>$C$4*$C$5^B12</f>
        <v/>
      </c>
      <c r="D12" s="100">
        <f>D11+C12</f>
        <v/>
      </c>
      <c r="E12" s="101">
        <f>(B12+1)*Vassals!$F$5</f>
        <v/>
      </c>
      <c r="F12" s="101">
        <f>C12/((B12)*Vassals!$F$5)</f>
        <v/>
      </c>
    </row>
    <row r="13" ht="15" customHeight="1" s="67">
      <c r="B13" s="102" t="n">
        <v>5</v>
      </c>
      <c r="C13" s="103">
        <f>$C$4*$C$5^B13</f>
        <v/>
      </c>
      <c r="D13" s="103">
        <f>D12+C13</f>
        <v/>
      </c>
      <c r="E13" s="104">
        <f>(B13+1)*Vassals!$F$5</f>
        <v/>
      </c>
      <c r="F13" s="104">
        <f>C13/((B13)*Vassals!$F$5)</f>
        <v/>
      </c>
    </row>
    <row r="14" ht="15" customHeight="1" s="67">
      <c r="B14" s="99" t="n">
        <v>6</v>
      </c>
      <c r="C14" s="100">
        <f>$C$4*$C$5^B14</f>
        <v/>
      </c>
      <c r="D14" s="100">
        <f>D13+C14</f>
        <v/>
      </c>
      <c r="E14" s="101">
        <f>(B14+1)*Vassals!$F$5</f>
        <v/>
      </c>
      <c r="F14" s="101">
        <f>C14/((B14)*Vassals!$F$5)</f>
        <v/>
      </c>
    </row>
    <row r="15" ht="15" customHeight="1" s="67">
      <c r="B15" s="102" t="n">
        <v>7</v>
      </c>
      <c r="C15" s="103">
        <f>$C$4*$C$5^B15</f>
        <v/>
      </c>
      <c r="D15" s="103">
        <f>D14+C15</f>
        <v/>
      </c>
      <c r="E15" s="104">
        <f>(B15+1)*Vassals!$F$5</f>
        <v/>
      </c>
      <c r="F15" s="104">
        <f>C15/((B15)*Vassals!$F$5)</f>
        <v/>
      </c>
    </row>
    <row r="16" ht="15" customHeight="1" s="67">
      <c r="B16" s="99" t="n">
        <v>8</v>
      </c>
      <c r="C16" s="100">
        <f>$C$4*$C$5^B16</f>
        <v/>
      </c>
      <c r="D16" s="100">
        <f>D15+C16</f>
        <v/>
      </c>
      <c r="E16" s="101">
        <f>(B16+1)*Vassals!$F$5</f>
        <v/>
      </c>
      <c r="F16" s="101">
        <f>C16/((B16)*Vassals!$F$5)</f>
        <v/>
      </c>
    </row>
    <row r="17" ht="15" customHeight="1" s="67">
      <c r="B17" s="102" t="n">
        <v>9</v>
      </c>
      <c r="C17" s="103">
        <f>$C$4*$C$5^B17</f>
        <v/>
      </c>
      <c r="D17" s="103">
        <f>D16+C17</f>
        <v/>
      </c>
      <c r="E17" s="104">
        <f>(B17+1)*Vassals!$F$5</f>
        <v/>
      </c>
      <c r="F17" s="104">
        <f>C17/((B17)*Vassals!$F$5)</f>
        <v/>
      </c>
    </row>
    <row r="18" ht="15" customHeight="1" s="67">
      <c r="B18" s="99" t="n">
        <v>10</v>
      </c>
      <c r="C18" s="100">
        <f>$C$4*$C$5^B18</f>
        <v/>
      </c>
      <c r="D18" s="100">
        <f>D17+C18</f>
        <v/>
      </c>
      <c r="E18" s="101">
        <f>(B18+1)*Vassals!$F$5</f>
        <v/>
      </c>
      <c r="F18" s="101">
        <f>C18/((B18)*Vassals!$F$5)</f>
        <v/>
      </c>
    </row>
    <row r="19" ht="15" customHeight="1" s="67">
      <c r="B19" s="102" t="n">
        <v>11</v>
      </c>
      <c r="C19" s="103">
        <f>$C$4*$C$5^B19</f>
        <v/>
      </c>
      <c r="D19" s="103">
        <f>D18+C19</f>
        <v/>
      </c>
      <c r="E19" s="104">
        <f>(B19+1)*Vassals!$F$5</f>
        <v/>
      </c>
      <c r="F19" s="104">
        <f>C19/((B19)*Vassals!$F$5)</f>
        <v/>
      </c>
    </row>
    <row r="20" ht="15" customHeight="1" s="67">
      <c r="B20" s="99" t="n">
        <v>12</v>
      </c>
      <c r="C20" s="100">
        <f>$C$4*$C$5^B20</f>
        <v/>
      </c>
      <c r="D20" s="100">
        <f>D19+C20</f>
        <v/>
      </c>
      <c r="E20" s="101">
        <f>(B20+1)*Vassals!$F$5</f>
        <v/>
      </c>
      <c r="F20" s="101">
        <f>C20/((B20)*Vassals!$F$5)</f>
        <v/>
      </c>
    </row>
    <row r="21" ht="15" customHeight="1" s="67">
      <c r="B21" s="102" t="n">
        <v>13</v>
      </c>
      <c r="C21" s="103">
        <f>$C$4*$C$5^B21</f>
        <v/>
      </c>
      <c r="D21" s="103">
        <f>D20+C21</f>
        <v/>
      </c>
      <c r="E21" s="104">
        <f>(B21+1)*Vassals!$F$5</f>
        <v/>
      </c>
      <c r="F21" s="104">
        <f>C21/((B21)*Vassals!$F$5)</f>
        <v/>
      </c>
    </row>
    <row r="22" ht="15" customHeight="1" s="67">
      <c r="B22" s="99" t="n">
        <v>14</v>
      </c>
      <c r="C22" s="100">
        <f>$C$4*$C$5^B22</f>
        <v/>
      </c>
      <c r="D22" s="100">
        <f>D21+C22</f>
        <v/>
      </c>
      <c r="E22" s="101">
        <f>(B22+1)*Vassals!$F$5</f>
        <v/>
      </c>
      <c r="F22" s="101">
        <f>C22/((B22)*Vassals!$F$5)</f>
        <v/>
      </c>
    </row>
    <row r="23" ht="15" customHeight="1" s="67">
      <c r="B23" s="102" t="n">
        <v>15</v>
      </c>
      <c r="C23" s="103">
        <f>$C$4*$C$5^B23</f>
        <v/>
      </c>
      <c r="D23" s="103">
        <f>D22+C23</f>
        <v/>
      </c>
      <c r="E23" s="104">
        <f>(B23+1)*Vassals!$F$5</f>
        <v/>
      </c>
      <c r="F23" s="104">
        <f>C23/((B23)*Vassals!$F$5)</f>
        <v/>
      </c>
    </row>
    <row r="24" ht="15" customHeight="1" s="67">
      <c r="B24" s="99" t="n">
        <v>16</v>
      </c>
      <c r="C24" s="100">
        <f>$C$4*$C$5^B24</f>
        <v/>
      </c>
      <c r="D24" s="100">
        <f>D23+C24</f>
        <v/>
      </c>
      <c r="E24" s="101">
        <f>(B24+1)*Vassals!$F$5</f>
        <v/>
      </c>
      <c r="F24" s="101">
        <f>C24/((B24)*Vassals!$F$5)</f>
        <v/>
      </c>
    </row>
    <row r="25" ht="15" customHeight="1" s="67">
      <c r="B25" s="102" t="n">
        <v>17</v>
      </c>
      <c r="C25" s="103">
        <f>$C$4*$C$5^B25</f>
        <v/>
      </c>
      <c r="D25" s="103">
        <f>D24+C25</f>
        <v/>
      </c>
      <c r="E25" s="104">
        <f>(B25+1)*Vassals!$F$5</f>
        <v/>
      </c>
      <c r="F25" s="104">
        <f>C25/((B25)*Vassals!$F$5)</f>
        <v/>
      </c>
    </row>
    <row r="26" ht="15" customHeight="1" s="67">
      <c r="B26" s="99" t="n">
        <v>18</v>
      </c>
      <c r="C26" s="100">
        <f>$C$4*$C$5^B26</f>
        <v/>
      </c>
      <c r="D26" s="100">
        <f>D25+C26</f>
        <v/>
      </c>
      <c r="E26" s="101">
        <f>(B26+1)*Vassals!$F$5</f>
        <v/>
      </c>
      <c r="F26" s="101">
        <f>C26/((B26)*Vassals!$F$5)</f>
        <v/>
      </c>
    </row>
    <row r="27" ht="15" customHeight="1" s="67">
      <c r="B27" s="102" t="n">
        <v>19</v>
      </c>
      <c r="C27" s="103">
        <f>$C$4*$C$5^B27</f>
        <v/>
      </c>
      <c r="D27" s="103">
        <f>D26+C27</f>
        <v/>
      </c>
      <c r="E27" s="104">
        <f>(B27+1)*Vassals!$F$5</f>
        <v/>
      </c>
      <c r="F27" s="104">
        <f>C27/((B27)*Vassals!$F$5)</f>
        <v/>
      </c>
    </row>
    <row r="28" ht="15" customHeight="1" s="67">
      <c r="B28" s="99" t="n">
        <v>20</v>
      </c>
      <c r="C28" s="100">
        <f>$C$4*$C$5^B28</f>
        <v/>
      </c>
      <c r="D28" s="100">
        <f>D27+C28</f>
        <v/>
      </c>
      <c r="E28" s="101">
        <f>(B28+1)*Vassals!$F$5</f>
        <v/>
      </c>
      <c r="F28" s="101">
        <f>C28/((B28)*Vassals!$F$5)</f>
        <v/>
      </c>
    </row>
    <row r="29" ht="15" customHeight="1" s="67">
      <c r="B29" s="102" t="n">
        <v>21</v>
      </c>
      <c r="C29" s="103">
        <f>$C$4*$C$5^B29</f>
        <v/>
      </c>
      <c r="D29" s="103">
        <f>D28+C29</f>
        <v/>
      </c>
      <c r="E29" s="104">
        <f>(B29+1)*Vassals!$F$5</f>
        <v/>
      </c>
      <c r="F29" s="104">
        <f>C29/((B29)*Vassals!$F$5)</f>
        <v/>
      </c>
    </row>
    <row r="30" ht="15" customHeight="1" s="67">
      <c r="B30" s="99" t="n">
        <v>22</v>
      </c>
      <c r="C30" s="100">
        <f>$C$4*$C$5^B30</f>
        <v/>
      </c>
      <c r="D30" s="100">
        <f>D29+C30</f>
        <v/>
      </c>
      <c r="E30" s="101">
        <f>(B30+1)*Vassals!$F$5</f>
        <v/>
      </c>
      <c r="F30" s="101">
        <f>C30/((B30)*Vassals!$F$5)</f>
        <v/>
      </c>
    </row>
    <row r="31" ht="15" customHeight="1" s="67">
      <c r="B31" s="102" t="n">
        <v>23</v>
      </c>
      <c r="C31" s="103">
        <f>$C$4*$C$5^B31</f>
        <v/>
      </c>
      <c r="D31" s="103">
        <f>D30+C31</f>
        <v/>
      </c>
      <c r="E31" s="104">
        <f>(B31+1)*Vassals!$F$5</f>
        <v/>
      </c>
      <c r="F31" s="104">
        <f>C31/((B31)*Vassals!$F$5)</f>
        <v/>
      </c>
    </row>
    <row r="32" ht="15" customHeight="1" s="67">
      <c r="B32" s="99" t="n">
        <v>24</v>
      </c>
      <c r="C32" s="100">
        <f>$C$4*$C$5^B32</f>
        <v/>
      </c>
      <c r="D32" s="100">
        <f>D31+C32</f>
        <v/>
      </c>
      <c r="E32" s="101">
        <f>(B32+1)*Vassals!$F$5</f>
        <v/>
      </c>
      <c r="F32" s="101">
        <f>C32/((B32)*Vassals!$F$5)</f>
        <v/>
      </c>
    </row>
    <row r="33" ht="15" customHeight="1" s="67">
      <c r="B33" s="102" t="n">
        <v>25</v>
      </c>
      <c r="C33" s="103">
        <f>$C$4*$C$5^B33</f>
        <v/>
      </c>
      <c r="D33" s="103">
        <f>D32+C33</f>
        <v/>
      </c>
      <c r="E33" s="104">
        <f>(B33+1)*Vassals!$F$5</f>
        <v/>
      </c>
      <c r="F33" s="104">
        <f>C33/((B33)*Vassals!$F$5)</f>
        <v/>
      </c>
    </row>
    <row r="34" ht="15" customHeight="1" s="67">
      <c r="B34" s="99" t="n">
        <v>26</v>
      </c>
      <c r="C34" s="100">
        <f>$C$4*$C$5^B34</f>
        <v/>
      </c>
      <c r="D34" s="100">
        <f>D33+C34</f>
        <v/>
      </c>
      <c r="E34" s="101">
        <f>(B34+1)*Vassals!$F$5</f>
        <v/>
      </c>
      <c r="F34" s="101">
        <f>C34/((B34)*Vassals!$F$5)</f>
        <v/>
      </c>
    </row>
    <row r="35" ht="15" customHeight="1" s="67">
      <c r="B35" s="102" t="n">
        <v>27</v>
      </c>
      <c r="C35" s="103">
        <f>$C$4*$C$5^B35</f>
        <v/>
      </c>
      <c r="D35" s="103">
        <f>D34+C35</f>
        <v/>
      </c>
      <c r="E35" s="104">
        <f>(B35+1)*Vassals!$F$5</f>
        <v/>
      </c>
      <c r="F35" s="104">
        <f>C35/((B35)*Vassals!$F$5)</f>
        <v/>
      </c>
    </row>
    <row r="36" ht="15" customHeight="1" s="67">
      <c r="B36" s="99" t="n">
        <v>28</v>
      </c>
      <c r="C36" s="100">
        <f>$C$4*$C$5^B36</f>
        <v/>
      </c>
      <c r="D36" s="100">
        <f>D35+C36</f>
        <v/>
      </c>
      <c r="E36" s="101">
        <f>(B36+1)*Vassals!$F$5</f>
        <v/>
      </c>
      <c r="F36" s="101">
        <f>C36/((B36)*Vassals!$F$5)</f>
        <v/>
      </c>
    </row>
    <row r="37" ht="15" customHeight="1" s="67">
      <c r="B37" s="102" t="n">
        <v>29</v>
      </c>
      <c r="C37" s="103">
        <f>$C$4*$C$5^B37</f>
        <v/>
      </c>
      <c r="D37" s="103">
        <f>D36+C37</f>
        <v/>
      </c>
      <c r="E37" s="104">
        <f>(B37+1)*Vassals!$F$5</f>
        <v/>
      </c>
      <c r="F37" s="104">
        <f>C37/((B37)*Vassals!$F$5)</f>
        <v/>
      </c>
    </row>
    <row r="38" ht="15" customHeight="1" s="67">
      <c r="B38" s="99" t="n">
        <v>30</v>
      </c>
      <c r="C38" s="100">
        <f>$C$4*$C$5^B38</f>
        <v/>
      </c>
      <c r="D38" s="100">
        <f>D37+C38</f>
        <v/>
      </c>
      <c r="E38" s="101">
        <f>(B38+1)*Vassals!$F$5</f>
        <v/>
      </c>
      <c r="F38" s="101">
        <f>C38/((B38)*Vassals!$F$5)</f>
        <v/>
      </c>
    </row>
    <row r="39" ht="15" customHeight="1" s="67">
      <c r="B39" s="102" t="n">
        <v>31</v>
      </c>
      <c r="C39" s="103">
        <f>$C$4*$C$5^B39</f>
        <v/>
      </c>
      <c r="D39" s="103">
        <f>D38+C39</f>
        <v/>
      </c>
      <c r="E39" s="104">
        <f>(B39+1)*Vassals!$F$5</f>
        <v/>
      </c>
      <c r="F39" s="104">
        <f>C39/((B39)*Vassals!$F$5)</f>
        <v/>
      </c>
    </row>
    <row r="40" ht="15" customHeight="1" s="67">
      <c r="B40" s="99" t="n">
        <v>32</v>
      </c>
      <c r="C40" s="100">
        <f>$C$4*$C$5^B40</f>
        <v/>
      </c>
      <c r="D40" s="100">
        <f>D39+C40</f>
        <v/>
      </c>
      <c r="E40" s="101">
        <f>(B40+1)*Vassals!$F$5</f>
        <v/>
      </c>
      <c r="F40" s="101">
        <f>C40/((B40)*Vassals!$F$5)</f>
        <v/>
      </c>
    </row>
    <row r="41" ht="15" customHeight="1" s="67">
      <c r="B41" s="102" t="n">
        <v>33</v>
      </c>
      <c r="C41" s="103">
        <f>$C$4*$C$5^B41</f>
        <v/>
      </c>
      <c r="D41" s="103">
        <f>D40+C41</f>
        <v/>
      </c>
      <c r="E41" s="104">
        <f>(B41+1)*Vassals!$F$5</f>
        <v/>
      </c>
      <c r="F41" s="104">
        <f>C41/((B41)*Vassals!$F$5)</f>
        <v/>
      </c>
    </row>
    <row r="42" ht="15" customHeight="1" s="67">
      <c r="B42" s="99" t="n">
        <v>34</v>
      </c>
      <c r="C42" s="100">
        <f>$C$4*$C$5^B42</f>
        <v/>
      </c>
      <c r="D42" s="100">
        <f>D41+C42</f>
        <v/>
      </c>
      <c r="E42" s="101">
        <f>(B42+1)*Vassals!$F$5</f>
        <v/>
      </c>
      <c r="F42" s="101">
        <f>C42/((B42)*Vassals!$F$5)</f>
        <v/>
      </c>
    </row>
    <row r="43" ht="15" customHeight="1" s="67">
      <c r="B43" s="102" t="n">
        <v>35</v>
      </c>
      <c r="C43" s="103">
        <f>$C$4*$C$5^B43</f>
        <v/>
      </c>
      <c r="D43" s="103">
        <f>D42+C43</f>
        <v/>
      </c>
      <c r="E43" s="104">
        <f>(B43+1)*Vassals!$F$5</f>
        <v/>
      </c>
      <c r="F43" s="104">
        <f>C43/((B43)*Vassals!$F$5)</f>
        <v/>
      </c>
    </row>
    <row r="44" ht="15" customHeight="1" s="67">
      <c r="B44" s="99" t="n">
        <v>36</v>
      </c>
      <c r="C44" s="100">
        <f>$C$4*$C$5^B44</f>
        <v/>
      </c>
      <c r="D44" s="100">
        <f>D43+C44</f>
        <v/>
      </c>
      <c r="E44" s="101">
        <f>(B44+1)*Vassals!$F$5</f>
        <v/>
      </c>
      <c r="F44" s="101">
        <f>C44/((B44)*Vassals!$F$5)</f>
        <v/>
      </c>
    </row>
    <row r="45" ht="15" customHeight="1" s="67">
      <c r="B45" s="102" t="n">
        <v>37</v>
      </c>
      <c r="C45" s="103">
        <f>$C$4*$C$5^B45</f>
        <v/>
      </c>
      <c r="D45" s="103">
        <f>D44+C45</f>
        <v/>
      </c>
      <c r="E45" s="104">
        <f>(B45+1)*Vassals!$F$5</f>
        <v/>
      </c>
      <c r="F45" s="104">
        <f>C45/((B45)*Vassals!$F$5)</f>
        <v/>
      </c>
    </row>
    <row r="46" ht="15" customHeight="1" s="67">
      <c r="B46" s="99" t="n">
        <v>38</v>
      </c>
      <c r="C46" s="100">
        <f>$C$4*$C$5^B46</f>
        <v/>
      </c>
      <c r="D46" s="100">
        <f>D45+C46</f>
        <v/>
      </c>
      <c r="E46" s="101">
        <f>(B46+1)*Vassals!$F$5</f>
        <v/>
      </c>
      <c r="F46" s="101">
        <f>C46/((B46)*Vassals!$F$5)</f>
        <v/>
      </c>
    </row>
    <row r="47" ht="15" customHeight="1" s="67">
      <c r="B47" s="102" t="n">
        <v>39</v>
      </c>
      <c r="C47" s="103">
        <f>$C$4*$C$5^B47</f>
        <v/>
      </c>
      <c r="D47" s="103">
        <f>D46+C47</f>
        <v/>
      </c>
      <c r="E47" s="104">
        <f>(B47+1)*Vassals!$F$5</f>
        <v/>
      </c>
      <c r="F47" s="104">
        <f>C47/((B47)*Vassals!$F$5)</f>
        <v/>
      </c>
    </row>
    <row r="48" ht="15" customHeight="1" s="67">
      <c r="B48" s="99" t="n">
        <v>40</v>
      </c>
      <c r="C48" s="100">
        <f>$C$4*$C$5^B48</f>
        <v/>
      </c>
      <c r="D48" s="100">
        <f>D47+C48</f>
        <v/>
      </c>
      <c r="E48" s="101">
        <f>(B48+1)*Vassals!$F$5</f>
        <v/>
      </c>
      <c r="F48" s="101">
        <f>C48/((B48)*Vassals!$F$5)</f>
        <v/>
      </c>
    </row>
    <row r="49" ht="15" customHeight="1" s="67">
      <c r="B49" s="102" t="n">
        <v>41</v>
      </c>
      <c r="C49" s="103">
        <f>$C$4*$C$5^B49</f>
        <v/>
      </c>
      <c r="D49" s="103">
        <f>D48+C49</f>
        <v/>
      </c>
      <c r="E49" s="104">
        <f>(B49+1)*Vassals!$F$5</f>
        <v/>
      </c>
      <c r="F49" s="104">
        <f>C49/((B49)*Vassals!$F$5)</f>
        <v/>
      </c>
    </row>
    <row r="50" ht="15" customHeight="1" s="67">
      <c r="B50" s="99" t="n">
        <v>42</v>
      </c>
      <c r="C50" s="100">
        <f>$C$4*$C$5^B50</f>
        <v/>
      </c>
      <c r="D50" s="100">
        <f>D49+C50</f>
        <v/>
      </c>
      <c r="E50" s="101">
        <f>(B50+1)*Vassals!$F$5</f>
        <v/>
      </c>
      <c r="F50" s="101">
        <f>C50/((B50)*Vassals!$F$5)</f>
        <v/>
      </c>
    </row>
    <row r="51" ht="15" customHeight="1" s="67">
      <c r="B51" s="102" t="n">
        <v>43</v>
      </c>
      <c r="C51" s="103">
        <f>$C$4*$C$5^B51</f>
        <v/>
      </c>
      <c r="D51" s="103">
        <f>D50+C51</f>
        <v/>
      </c>
      <c r="E51" s="104">
        <f>(B51+1)*Vassals!$F$5</f>
        <v/>
      </c>
      <c r="F51" s="104">
        <f>C51/((B51)*Vassals!$F$5)</f>
        <v/>
      </c>
    </row>
    <row r="52" ht="15" customHeight="1" s="67">
      <c r="B52" s="99" t="n">
        <v>44</v>
      </c>
      <c r="C52" s="100">
        <f>$C$4*$C$5^B52</f>
        <v/>
      </c>
      <c r="D52" s="100">
        <f>D51+C52</f>
        <v/>
      </c>
      <c r="E52" s="101">
        <f>(B52+1)*Vassals!$F$5</f>
        <v/>
      </c>
      <c r="F52" s="101">
        <f>C52/((B52)*Vassals!$F$5)</f>
        <v/>
      </c>
    </row>
    <row r="53" ht="15" customHeight="1" s="67">
      <c r="B53" s="102" t="n">
        <v>45</v>
      </c>
      <c r="C53" s="103">
        <f>$C$4*$C$5^B53</f>
        <v/>
      </c>
      <c r="D53" s="103">
        <f>D52+C53</f>
        <v/>
      </c>
      <c r="E53" s="104">
        <f>(B53+1)*Vassals!$F$5</f>
        <v/>
      </c>
      <c r="F53" s="104">
        <f>C53/((B53)*Vassals!$F$5)</f>
        <v/>
      </c>
    </row>
    <row r="54" ht="15" customHeight="1" s="67">
      <c r="B54" s="99" t="n">
        <v>46</v>
      </c>
      <c r="C54" s="100">
        <f>$C$4*$C$5^B54</f>
        <v/>
      </c>
      <c r="D54" s="100">
        <f>D53+C54</f>
        <v/>
      </c>
      <c r="E54" s="101">
        <f>(B54+1)*Vassals!$F$5</f>
        <v/>
      </c>
      <c r="F54" s="101">
        <f>C54/((B54)*Vassals!$F$5)</f>
        <v/>
      </c>
    </row>
    <row r="55" ht="15" customHeight="1" s="67">
      <c r="B55" s="102" t="n">
        <v>47</v>
      </c>
      <c r="C55" s="103">
        <f>$C$4*$C$5^B55</f>
        <v/>
      </c>
      <c r="D55" s="103">
        <f>D54+C55</f>
        <v/>
      </c>
      <c r="E55" s="104">
        <f>(B55+1)*Vassals!$F$5</f>
        <v/>
      </c>
      <c r="F55" s="104">
        <f>C55/((B55)*Vassals!$F$5)</f>
        <v/>
      </c>
    </row>
    <row r="56" ht="15" customHeight="1" s="67">
      <c r="B56" s="99" t="n">
        <v>48</v>
      </c>
      <c r="C56" s="100">
        <f>$C$4*$C$5^B56</f>
        <v/>
      </c>
      <c r="D56" s="100">
        <f>D55+C56</f>
        <v/>
      </c>
      <c r="E56" s="101">
        <f>(B56+1)*Vassals!$F$5</f>
        <v/>
      </c>
      <c r="F56" s="101">
        <f>C56/((B56)*Vassals!$F$5)</f>
        <v/>
      </c>
    </row>
    <row r="57" ht="15" customHeight="1" s="67">
      <c r="B57" s="102" t="n">
        <v>49</v>
      </c>
      <c r="C57" s="103">
        <f>$C$4*$C$5^B57</f>
        <v/>
      </c>
      <c r="D57" s="103">
        <f>D56+C57</f>
        <v/>
      </c>
      <c r="E57" s="104">
        <f>(B57+1)*Vassals!$F$5</f>
        <v/>
      </c>
      <c r="F57" s="104">
        <f>C57/((B57)*Vassals!$F$5)</f>
        <v/>
      </c>
    </row>
    <row r="58" ht="15" customHeight="1" s="67">
      <c r="B58" s="99" t="n">
        <v>50</v>
      </c>
      <c r="C58" s="100">
        <f>$C$4*$C$5^B58</f>
        <v/>
      </c>
      <c r="D58" s="100">
        <f>D57+C58</f>
        <v/>
      </c>
      <c r="E58" s="101">
        <f>(B58+1)*Vassals!$F$5</f>
        <v/>
      </c>
      <c r="F58" s="101">
        <f>C58/((B58)*Vassals!$F$5)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G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2" customWidth="1" style="66" min="2" max="2"/>
    <col width="18" customWidth="1" style="66" min="3" max="5"/>
    <col width="20" customWidth="1" style="66" min="6" max="6"/>
    <col width="18" customWidth="1" style="66" min="7" max="7"/>
  </cols>
  <sheetData>
    <row r="1" ht="17.25" customHeight="1" s="67">
      <c r="B1" s="68" t="inlineStr">
        <is>
          <t>PRODUCTION SIMULATOR (per minute)</t>
        </is>
      </c>
    </row>
    <row r="2" ht="15" customHeight="1" s="67">
      <c r="B2" s="69" t="inlineStr">
        <is>
          <t>Models CC over a session. Greedy rule: each minute, buy 1 Formsworth if affordable.</t>
        </is>
      </c>
    </row>
    <row r="4" ht="15" customHeight="1" s="67">
      <c r="B4" s="70" t="inlineStr">
        <is>
          <t>Starting Formsworth</t>
        </is>
      </c>
      <c r="C4" s="94" t="n">
        <v>0</v>
      </c>
      <c r="D4" s="69" t="inlineStr">
        <is>
          <t>(0 = pure manual start; first buy is the automation dopamine moment)</t>
        </is>
      </c>
    </row>
    <row r="5" ht="15" customHeight="1" s="67">
      <c r="B5" s="70" t="inlineStr">
        <is>
          <t>Manual clicks / min</t>
        </is>
      </c>
      <c r="C5" s="94" t="n">
        <v>30</v>
      </c>
    </row>
    <row r="7" ht="15" customHeight="1" s="67">
      <c r="B7" s="72" t="inlineStr">
        <is>
          <t>Minute</t>
        </is>
      </c>
      <c r="C7" s="72" t="inlineStr">
        <is>
          <t>Owned</t>
        </is>
      </c>
      <c r="D7" s="72" t="inlineStr">
        <is>
          <t>CC/sec (auto)</t>
        </is>
      </c>
      <c r="E7" s="72" t="inlineStr">
        <is>
          <t>Manual CC/min</t>
        </is>
      </c>
      <c r="F7" s="72" t="inlineStr">
        <is>
          <t>CC gained/min</t>
        </is>
      </c>
      <c r="G7" s="72" t="inlineStr">
        <is>
          <t>CC balance</t>
        </is>
      </c>
    </row>
    <row r="8" ht="15" customHeight="1" s="67">
      <c r="B8" s="99" t="n">
        <v>0</v>
      </c>
      <c r="C8" s="100">
        <f>C4</f>
        <v/>
      </c>
      <c r="D8" s="101">
        <f>C8*Vassals!$F$5</f>
        <v/>
      </c>
      <c r="E8" s="100">
        <f>$C$5*Assumptions!$C$10</f>
        <v/>
      </c>
      <c r="F8" s="100">
        <f>D8*60+E8</f>
        <v/>
      </c>
      <c r="G8" s="100">
        <f>F8</f>
        <v/>
      </c>
    </row>
    <row r="9" ht="15" customHeight="1" s="67">
      <c r="B9" s="102" t="n">
        <v>1</v>
      </c>
      <c r="C9" s="103">
        <f>C8+IF(G8&gt;=(Vassals!$C$5*Vassals!$D$5^C8),1,0)</f>
        <v/>
      </c>
      <c r="D9" s="104">
        <f>C9*Vassals!$F$5</f>
        <v/>
      </c>
      <c r="E9" s="103">
        <f>$C$5*Assumptions!$C$10</f>
        <v/>
      </c>
      <c r="F9" s="103">
        <f>D9*60+E9</f>
        <v/>
      </c>
      <c r="G9" s="103">
        <f>G8+F9-IF(C9&gt;C8,(Vassals!$C$5*Vassals!$D$5^C8),0)</f>
        <v/>
      </c>
    </row>
    <row r="10" ht="15" customHeight="1" s="67">
      <c r="B10" s="99" t="n">
        <v>2</v>
      </c>
      <c r="C10" s="100">
        <f>C9+IF(G9&gt;=(Vassals!$C$5*Vassals!$D$5^C9),1,0)</f>
        <v/>
      </c>
      <c r="D10" s="101">
        <f>C10*Vassals!$F$5</f>
        <v/>
      </c>
      <c r="E10" s="100">
        <f>$C$5*Assumptions!$C$10</f>
        <v/>
      </c>
      <c r="F10" s="100">
        <f>D10*60+E10</f>
        <v/>
      </c>
      <c r="G10" s="100">
        <f>G9+F10-IF(C10&gt;C9,(Vassals!$C$5*Vassals!$D$5^C9),0)</f>
        <v/>
      </c>
    </row>
    <row r="11" ht="15" customHeight="1" s="67">
      <c r="B11" s="102" t="n">
        <v>3</v>
      </c>
      <c r="C11" s="103">
        <f>C10+IF(G10&gt;=(Vassals!$C$5*Vassals!$D$5^C10),1,0)</f>
        <v/>
      </c>
      <c r="D11" s="104">
        <f>C11*Vassals!$F$5</f>
        <v/>
      </c>
      <c r="E11" s="103">
        <f>$C$5*Assumptions!$C$10</f>
        <v/>
      </c>
      <c r="F11" s="103">
        <f>D11*60+E11</f>
        <v/>
      </c>
      <c r="G11" s="103">
        <f>G10+F11-IF(C11&gt;C10,(Vassals!$C$5*Vassals!$D$5^C10),0)</f>
        <v/>
      </c>
    </row>
    <row r="12" ht="15" customHeight="1" s="67">
      <c r="B12" s="99" t="n">
        <v>4</v>
      </c>
      <c r="C12" s="100">
        <f>C11+IF(G11&gt;=(Vassals!$C$5*Vassals!$D$5^C11),1,0)</f>
        <v/>
      </c>
      <c r="D12" s="101">
        <f>C12*Vassals!$F$5</f>
        <v/>
      </c>
      <c r="E12" s="100">
        <f>$C$5*Assumptions!$C$10</f>
        <v/>
      </c>
      <c r="F12" s="100">
        <f>D12*60+E12</f>
        <v/>
      </c>
      <c r="G12" s="100">
        <f>G11+F12-IF(C12&gt;C11,(Vassals!$C$5*Vassals!$D$5^C11),0)</f>
        <v/>
      </c>
    </row>
    <row r="13" ht="15" customHeight="1" s="67">
      <c r="B13" s="102" t="n">
        <v>5</v>
      </c>
      <c r="C13" s="103">
        <f>C12+IF(G12&gt;=(Vassals!$C$5*Vassals!$D$5^C12),1,0)</f>
        <v/>
      </c>
      <c r="D13" s="104">
        <f>C13*Vassals!$F$5</f>
        <v/>
      </c>
      <c r="E13" s="103">
        <f>$C$5*Assumptions!$C$10</f>
        <v/>
      </c>
      <c r="F13" s="103">
        <f>D13*60+E13</f>
        <v/>
      </c>
      <c r="G13" s="103">
        <f>G12+F13-IF(C13&gt;C12,(Vassals!$C$5*Vassals!$D$5^C12),0)</f>
        <v/>
      </c>
    </row>
    <row r="14" ht="15" customHeight="1" s="67">
      <c r="B14" s="99" t="n">
        <v>6</v>
      </c>
      <c r="C14" s="100">
        <f>C13+IF(G13&gt;=(Vassals!$C$5*Vassals!$D$5^C13),1,0)</f>
        <v/>
      </c>
      <c r="D14" s="101">
        <f>C14*Vassals!$F$5</f>
        <v/>
      </c>
      <c r="E14" s="100">
        <f>$C$5*Assumptions!$C$10</f>
        <v/>
      </c>
      <c r="F14" s="100">
        <f>D14*60+E14</f>
        <v/>
      </c>
      <c r="G14" s="100">
        <f>G13+F14-IF(C14&gt;C13,(Vassals!$C$5*Vassals!$D$5^C13),0)</f>
        <v/>
      </c>
    </row>
    <row r="15" ht="15" customHeight="1" s="67">
      <c r="B15" s="102" t="n">
        <v>7</v>
      </c>
      <c r="C15" s="103">
        <f>C14+IF(G14&gt;=(Vassals!$C$5*Vassals!$D$5^C14),1,0)</f>
        <v/>
      </c>
      <c r="D15" s="104">
        <f>C15*Vassals!$F$5</f>
        <v/>
      </c>
      <c r="E15" s="103">
        <f>$C$5*Assumptions!$C$10</f>
        <v/>
      </c>
      <c r="F15" s="103">
        <f>D15*60+E15</f>
        <v/>
      </c>
      <c r="G15" s="103">
        <f>G14+F15-IF(C15&gt;C14,(Vassals!$C$5*Vassals!$D$5^C14),0)</f>
        <v/>
      </c>
    </row>
    <row r="16" ht="15" customHeight="1" s="67">
      <c r="B16" s="99" t="n">
        <v>8</v>
      </c>
      <c r="C16" s="100">
        <f>C15+IF(G15&gt;=(Vassals!$C$5*Vassals!$D$5^C15),1,0)</f>
        <v/>
      </c>
      <c r="D16" s="101">
        <f>C16*Vassals!$F$5</f>
        <v/>
      </c>
      <c r="E16" s="100">
        <f>$C$5*Assumptions!$C$10</f>
        <v/>
      </c>
      <c r="F16" s="100">
        <f>D16*60+E16</f>
        <v/>
      </c>
      <c r="G16" s="100">
        <f>G15+F16-IF(C16&gt;C15,(Vassals!$C$5*Vassals!$D$5^C15),0)</f>
        <v/>
      </c>
    </row>
    <row r="17" ht="15" customHeight="1" s="67">
      <c r="B17" s="102" t="n">
        <v>9</v>
      </c>
      <c r="C17" s="103">
        <f>C16+IF(G16&gt;=(Vassals!$C$5*Vassals!$D$5^C16),1,0)</f>
        <v/>
      </c>
      <c r="D17" s="104">
        <f>C17*Vassals!$F$5</f>
        <v/>
      </c>
      <c r="E17" s="103">
        <f>$C$5*Assumptions!$C$10</f>
        <v/>
      </c>
      <c r="F17" s="103">
        <f>D17*60+E17</f>
        <v/>
      </c>
      <c r="G17" s="103">
        <f>G16+F17-IF(C17&gt;C16,(Vassals!$C$5*Vassals!$D$5^C16),0)</f>
        <v/>
      </c>
    </row>
    <row r="18" ht="15" customHeight="1" s="67">
      <c r="B18" s="99" t="n">
        <v>10</v>
      </c>
      <c r="C18" s="100">
        <f>C17+IF(G17&gt;=(Vassals!$C$5*Vassals!$D$5^C17),1,0)</f>
        <v/>
      </c>
      <c r="D18" s="101">
        <f>C18*Vassals!$F$5</f>
        <v/>
      </c>
      <c r="E18" s="100">
        <f>$C$5*Assumptions!$C$10</f>
        <v/>
      </c>
      <c r="F18" s="100">
        <f>D18*60+E18</f>
        <v/>
      </c>
      <c r="G18" s="100">
        <f>G17+F18-IF(C18&gt;C17,(Vassals!$C$5*Vassals!$D$5^C17),0)</f>
        <v/>
      </c>
    </row>
    <row r="19" ht="15" customHeight="1" s="67">
      <c r="B19" s="102" t="n">
        <v>11</v>
      </c>
      <c r="C19" s="103">
        <f>C18+IF(G18&gt;=(Vassals!$C$5*Vassals!$D$5^C18),1,0)</f>
        <v/>
      </c>
      <c r="D19" s="104">
        <f>C19*Vassals!$F$5</f>
        <v/>
      </c>
      <c r="E19" s="103">
        <f>$C$5*Assumptions!$C$10</f>
        <v/>
      </c>
      <c r="F19" s="103">
        <f>D19*60+E19</f>
        <v/>
      </c>
      <c r="G19" s="103">
        <f>G18+F19-IF(C19&gt;C18,(Vassals!$C$5*Vassals!$D$5^C18),0)</f>
        <v/>
      </c>
    </row>
    <row r="20" ht="15" customHeight="1" s="67">
      <c r="B20" s="99" t="n">
        <v>12</v>
      </c>
      <c r="C20" s="100">
        <f>C19+IF(G19&gt;=(Vassals!$C$5*Vassals!$D$5^C19),1,0)</f>
        <v/>
      </c>
      <c r="D20" s="101">
        <f>C20*Vassals!$F$5</f>
        <v/>
      </c>
      <c r="E20" s="100">
        <f>$C$5*Assumptions!$C$10</f>
        <v/>
      </c>
      <c r="F20" s="100">
        <f>D20*60+E20</f>
        <v/>
      </c>
      <c r="G20" s="100">
        <f>G19+F20-IF(C20&gt;C19,(Vassals!$C$5*Vassals!$D$5^C19),0)</f>
        <v/>
      </c>
    </row>
    <row r="21" ht="15" customHeight="1" s="67">
      <c r="B21" s="102" t="n">
        <v>13</v>
      </c>
      <c r="C21" s="103">
        <f>C20+IF(G20&gt;=(Vassals!$C$5*Vassals!$D$5^C20),1,0)</f>
        <v/>
      </c>
      <c r="D21" s="104">
        <f>C21*Vassals!$F$5</f>
        <v/>
      </c>
      <c r="E21" s="103">
        <f>$C$5*Assumptions!$C$10</f>
        <v/>
      </c>
      <c r="F21" s="103">
        <f>D21*60+E21</f>
        <v/>
      </c>
      <c r="G21" s="103">
        <f>G20+F21-IF(C21&gt;C20,(Vassals!$C$5*Vassals!$D$5^C20),0)</f>
        <v/>
      </c>
    </row>
    <row r="22" ht="15" customHeight="1" s="67">
      <c r="B22" s="99" t="n">
        <v>14</v>
      </c>
      <c r="C22" s="100">
        <f>C21+IF(G21&gt;=(Vassals!$C$5*Vassals!$D$5^C21),1,0)</f>
        <v/>
      </c>
      <c r="D22" s="101">
        <f>C22*Vassals!$F$5</f>
        <v/>
      </c>
      <c r="E22" s="100">
        <f>$C$5*Assumptions!$C$10</f>
        <v/>
      </c>
      <c r="F22" s="100">
        <f>D22*60+E22</f>
        <v/>
      </c>
      <c r="G22" s="100">
        <f>G21+F22-IF(C22&gt;C21,(Vassals!$C$5*Vassals!$D$5^C21),0)</f>
        <v/>
      </c>
    </row>
    <row r="23" ht="15" customHeight="1" s="67">
      <c r="B23" s="102" t="n">
        <v>15</v>
      </c>
      <c r="C23" s="103">
        <f>C22+IF(G22&gt;=(Vassals!$C$5*Vassals!$D$5^C22),1,0)</f>
        <v/>
      </c>
      <c r="D23" s="104">
        <f>C23*Vassals!$F$5</f>
        <v/>
      </c>
      <c r="E23" s="103">
        <f>$C$5*Assumptions!$C$10</f>
        <v/>
      </c>
      <c r="F23" s="103">
        <f>D23*60+E23</f>
        <v/>
      </c>
      <c r="G23" s="103">
        <f>G22+F23-IF(C23&gt;C22,(Vassals!$C$5*Vassals!$D$5^C22),0)</f>
        <v/>
      </c>
    </row>
    <row r="24" ht="15" customHeight="1" s="67">
      <c r="B24" s="99" t="n">
        <v>16</v>
      </c>
      <c r="C24" s="100">
        <f>C23+IF(G23&gt;=(Vassals!$C$5*Vassals!$D$5^C23),1,0)</f>
        <v/>
      </c>
      <c r="D24" s="101">
        <f>C24*Vassals!$F$5</f>
        <v/>
      </c>
      <c r="E24" s="100">
        <f>$C$5*Assumptions!$C$10</f>
        <v/>
      </c>
      <c r="F24" s="100">
        <f>D24*60+E24</f>
        <v/>
      </c>
      <c r="G24" s="100">
        <f>G23+F24-IF(C24&gt;C23,(Vassals!$C$5*Vassals!$D$5^C23),0)</f>
        <v/>
      </c>
    </row>
    <row r="25" ht="15" customHeight="1" s="67">
      <c r="B25" s="102" t="n">
        <v>17</v>
      </c>
      <c r="C25" s="103">
        <f>C24+IF(G24&gt;=(Vassals!$C$5*Vassals!$D$5^C24),1,0)</f>
        <v/>
      </c>
      <c r="D25" s="104">
        <f>C25*Vassals!$F$5</f>
        <v/>
      </c>
      <c r="E25" s="103">
        <f>$C$5*Assumptions!$C$10</f>
        <v/>
      </c>
      <c r="F25" s="103">
        <f>D25*60+E25</f>
        <v/>
      </c>
      <c r="G25" s="103">
        <f>G24+F25-IF(C25&gt;C24,(Vassals!$C$5*Vassals!$D$5^C24),0)</f>
        <v/>
      </c>
    </row>
    <row r="26" ht="15" customHeight="1" s="67">
      <c r="B26" s="99" t="n">
        <v>18</v>
      </c>
      <c r="C26" s="100">
        <f>C25+IF(G25&gt;=(Vassals!$C$5*Vassals!$D$5^C25),1,0)</f>
        <v/>
      </c>
      <c r="D26" s="101">
        <f>C26*Vassals!$F$5</f>
        <v/>
      </c>
      <c r="E26" s="100">
        <f>$C$5*Assumptions!$C$10</f>
        <v/>
      </c>
      <c r="F26" s="100">
        <f>D26*60+E26</f>
        <v/>
      </c>
      <c r="G26" s="100">
        <f>G25+F26-IF(C26&gt;C25,(Vassals!$C$5*Vassals!$D$5^C25),0)</f>
        <v/>
      </c>
    </row>
    <row r="27" ht="15" customHeight="1" s="67">
      <c r="B27" s="102" t="n">
        <v>19</v>
      </c>
      <c r="C27" s="103">
        <f>C26+IF(G26&gt;=(Vassals!$C$5*Vassals!$D$5^C26),1,0)</f>
        <v/>
      </c>
      <c r="D27" s="104">
        <f>C27*Vassals!$F$5</f>
        <v/>
      </c>
      <c r="E27" s="103">
        <f>$C$5*Assumptions!$C$10</f>
        <v/>
      </c>
      <c r="F27" s="103">
        <f>D27*60+E27</f>
        <v/>
      </c>
      <c r="G27" s="103">
        <f>G26+F27-IF(C27&gt;C26,(Vassals!$C$5*Vassals!$D$5^C26),0)</f>
        <v/>
      </c>
    </row>
    <row r="28" ht="15" customHeight="1" s="67">
      <c r="B28" s="99" t="n">
        <v>20</v>
      </c>
      <c r="C28" s="100">
        <f>C27+IF(G27&gt;=(Vassals!$C$5*Vassals!$D$5^C27),1,0)</f>
        <v/>
      </c>
      <c r="D28" s="101">
        <f>C28*Vassals!$F$5</f>
        <v/>
      </c>
      <c r="E28" s="100">
        <f>$C$5*Assumptions!$C$10</f>
        <v/>
      </c>
      <c r="F28" s="100">
        <f>D28*60+E28</f>
        <v/>
      </c>
      <c r="G28" s="100">
        <f>G27+F28-IF(C28&gt;C27,(Vassals!$C$5*Vassals!$D$5^C27),0)</f>
        <v/>
      </c>
    </row>
    <row r="29" ht="15" customHeight="1" s="67">
      <c r="B29" s="102" t="n">
        <v>21</v>
      </c>
      <c r="C29" s="103">
        <f>C28+IF(G28&gt;=(Vassals!$C$5*Vassals!$D$5^C28),1,0)</f>
        <v/>
      </c>
      <c r="D29" s="104">
        <f>C29*Vassals!$F$5</f>
        <v/>
      </c>
      <c r="E29" s="103">
        <f>$C$5*Assumptions!$C$10</f>
        <v/>
      </c>
      <c r="F29" s="103">
        <f>D29*60+E29</f>
        <v/>
      </c>
      <c r="G29" s="103">
        <f>G28+F29-IF(C29&gt;C28,(Vassals!$C$5*Vassals!$D$5^C28),0)</f>
        <v/>
      </c>
    </row>
    <row r="30" ht="15" customHeight="1" s="67">
      <c r="B30" s="99" t="n">
        <v>22</v>
      </c>
      <c r="C30" s="100">
        <f>C29+IF(G29&gt;=(Vassals!$C$5*Vassals!$D$5^C29),1,0)</f>
        <v/>
      </c>
      <c r="D30" s="101">
        <f>C30*Vassals!$F$5</f>
        <v/>
      </c>
      <c r="E30" s="100">
        <f>$C$5*Assumptions!$C$10</f>
        <v/>
      </c>
      <c r="F30" s="100">
        <f>D30*60+E30</f>
        <v/>
      </c>
      <c r="G30" s="100">
        <f>G29+F30-IF(C30&gt;C29,(Vassals!$C$5*Vassals!$D$5^C29),0)</f>
        <v/>
      </c>
    </row>
    <row r="31" ht="15" customHeight="1" s="67">
      <c r="B31" s="102" t="n">
        <v>23</v>
      </c>
      <c r="C31" s="103">
        <f>C30+IF(G30&gt;=(Vassals!$C$5*Vassals!$D$5^C30),1,0)</f>
        <v/>
      </c>
      <c r="D31" s="104">
        <f>C31*Vassals!$F$5</f>
        <v/>
      </c>
      <c r="E31" s="103">
        <f>$C$5*Assumptions!$C$10</f>
        <v/>
      </c>
      <c r="F31" s="103">
        <f>D31*60+E31</f>
        <v/>
      </c>
      <c r="G31" s="103">
        <f>G30+F31-IF(C31&gt;C30,(Vassals!$C$5*Vassals!$D$5^C30),0)</f>
        <v/>
      </c>
    </row>
    <row r="32" ht="15" customHeight="1" s="67">
      <c r="B32" s="99" t="n">
        <v>24</v>
      </c>
      <c r="C32" s="100">
        <f>C31+IF(G31&gt;=(Vassals!$C$5*Vassals!$D$5^C31),1,0)</f>
        <v/>
      </c>
      <c r="D32" s="101">
        <f>C32*Vassals!$F$5</f>
        <v/>
      </c>
      <c r="E32" s="100">
        <f>$C$5*Assumptions!$C$10</f>
        <v/>
      </c>
      <c r="F32" s="100">
        <f>D32*60+E32</f>
        <v/>
      </c>
      <c r="G32" s="100">
        <f>G31+F32-IF(C32&gt;C31,(Vassals!$C$5*Vassals!$D$5^C31),0)</f>
        <v/>
      </c>
    </row>
    <row r="33" ht="15" customHeight="1" s="67">
      <c r="B33" s="102" t="n">
        <v>25</v>
      </c>
      <c r="C33" s="103">
        <f>C32+IF(G32&gt;=(Vassals!$C$5*Vassals!$D$5^C32),1,0)</f>
        <v/>
      </c>
      <c r="D33" s="104">
        <f>C33*Vassals!$F$5</f>
        <v/>
      </c>
      <c r="E33" s="103">
        <f>$C$5*Assumptions!$C$10</f>
        <v/>
      </c>
      <c r="F33" s="103">
        <f>D33*60+E33</f>
        <v/>
      </c>
      <c r="G33" s="103">
        <f>G32+F33-IF(C33&gt;C32,(Vassals!$C$5*Vassals!$D$5^C32),0)</f>
        <v/>
      </c>
    </row>
    <row r="34" ht="15" customHeight="1" s="67">
      <c r="B34" s="99" t="n">
        <v>26</v>
      </c>
      <c r="C34" s="100">
        <f>C33+IF(G33&gt;=(Vassals!$C$5*Vassals!$D$5^C33),1,0)</f>
        <v/>
      </c>
      <c r="D34" s="101">
        <f>C34*Vassals!$F$5</f>
        <v/>
      </c>
      <c r="E34" s="100">
        <f>$C$5*Assumptions!$C$10</f>
        <v/>
      </c>
      <c r="F34" s="100">
        <f>D34*60+E34</f>
        <v/>
      </c>
      <c r="G34" s="100">
        <f>G33+F34-IF(C34&gt;C33,(Vassals!$C$5*Vassals!$D$5^C33),0)</f>
        <v/>
      </c>
    </row>
    <row r="35" ht="15" customHeight="1" s="67">
      <c r="B35" s="102" t="n">
        <v>27</v>
      </c>
      <c r="C35" s="103">
        <f>C34+IF(G34&gt;=(Vassals!$C$5*Vassals!$D$5^C34),1,0)</f>
        <v/>
      </c>
      <c r="D35" s="104">
        <f>C35*Vassals!$F$5</f>
        <v/>
      </c>
      <c r="E35" s="103">
        <f>$C$5*Assumptions!$C$10</f>
        <v/>
      </c>
      <c r="F35" s="103">
        <f>D35*60+E35</f>
        <v/>
      </c>
      <c r="G35" s="103">
        <f>G34+F35-IF(C35&gt;C34,(Vassals!$C$5*Vassals!$D$5^C34),0)</f>
        <v/>
      </c>
    </row>
    <row r="36" ht="15" customHeight="1" s="67">
      <c r="B36" s="99" t="n">
        <v>28</v>
      </c>
      <c r="C36" s="100">
        <f>C35+IF(G35&gt;=(Vassals!$C$5*Vassals!$D$5^C35),1,0)</f>
        <v/>
      </c>
      <c r="D36" s="101">
        <f>C36*Vassals!$F$5</f>
        <v/>
      </c>
      <c r="E36" s="100">
        <f>$C$5*Assumptions!$C$10</f>
        <v/>
      </c>
      <c r="F36" s="100">
        <f>D36*60+E36</f>
        <v/>
      </c>
      <c r="G36" s="100">
        <f>G35+F36-IF(C36&gt;C35,(Vassals!$C$5*Vassals!$D$5^C35),0)</f>
        <v/>
      </c>
    </row>
    <row r="37" ht="15" customHeight="1" s="67">
      <c r="B37" s="102" t="n">
        <v>29</v>
      </c>
      <c r="C37" s="103">
        <f>C36+IF(G36&gt;=(Vassals!$C$5*Vassals!$D$5^C36),1,0)</f>
        <v/>
      </c>
      <c r="D37" s="104">
        <f>C37*Vassals!$F$5</f>
        <v/>
      </c>
      <c r="E37" s="103">
        <f>$C$5*Assumptions!$C$10</f>
        <v/>
      </c>
      <c r="F37" s="103">
        <f>D37*60+E37</f>
        <v/>
      </c>
      <c r="G37" s="103">
        <f>G36+F37-IF(C37&gt;C36,(Vassals!$C$5*Vassals!$D$5^C36),0)</f>
        <v/>
      </c>
    </row>
    <row r="38" ht="15" customHeight="1" s="67">
      <c r="B38" s="99" t="n">
        <v>30</v>
      </c>
      <c r="C38" s="100">
        <f>C37+IF(G37&gt;=(Vassals!$C$5*Vassals!$D$5^C37),1,0)</f>
        <v/>
      </c>
      <c r="D38" s="101">
        <f>C38*Vassals!$F$5</f>
        <v/>
      </c>
      <c r="E38" s="100">
        <f>$C$5*Assumptions!$C$10</f>
        <v/>
      </c>
      <c r="F38" s="100">
        <f>D38*60+E38</f>
        <v/>
      </c>
      <c r="G38" s="100">
        <f>G37+F38-IF(C38&gt;C37,(Vassals!$C$5*Vassals!$D$5^C37),0)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22" customWidth="1" style="66" min="2" max="2"/>
    <col width="20" customWidth="1" style="66" min="3" max="4"/>
    <col width="22" customWidth="1" style="66" min="5" max="5"/>
    <col width="40" customWidth="1" style="66" min="6" max="6"/>
  </cols>
  <sheetData>
    <row r="1" ht="17.25" customHeight="1" s="67">
      <c r="B1" s="68" t="inlineStr">
        <is>
          <t>PRESTIGE SIMULATOR</t>
        </is>
      </c>
    </row>
    <row r="2" ht="15" customHeight="1" s="67">
      <c r="B2" s="69" t="inlineStr">
        <is>
          <t>Abdication Stamps from lifetime CC. Flat sqrt curve = diminishing returns per run (Pecorella III).</t>
        </is>
      </c>
    </row>
    <row r="4" ht="15" customHeight="1" s="67">
      <c r="B4" s="72" t="inlineStr">
        <is>
          <t>Lifetime CC this run</t>
        </is>
      </c>
      <c r="C4" s="72" t="inlineStr">
        <is>
          <t>Stamps earned</t>
        </is>
      </c>
      <c r="D4" s="72" t="inlineStr">
        <is>
          <t>Total stamps (cum)</t>
        </is>
      </c>
      <c r="E4" s="72" t="inlineStr">
        <is>
          <t>Permanent buff</t>
        </is>
      </c>
      <c r="F4" s="72" t="inlineStr">
        <is>
          <t>Effect</t>
        </is>
      </c>
    </row>
    <row r="5" ht="15" customHeight="1" s="67">
      <c r="B5" s="105" t="n">
        <v>50000</v>
      </c>
      <c r="C5" s="103">
        <f>INT((B5/Assumptions!$C$12)^Assumptions!$C$11)</f>
        <v/>
      </c>
      <c r="D5" s="103">
        <f>C5</f>
        <v/>
      </c>
      <c r="E5" s="106">
        <f>D5*Assumptions!$C$13</f>
        <v/>
      </c>
      <c r="F5" s="107">
        <f>"+"&amp;TEXT(E5,"0.0%")&amp;" global production"</f>
        <v/>
      </c>
    </row>
    <row r="6" ht="15" customHeight="1" s="67">
      <c r="B6" s="108" t="n">
        <v>250000</v>
      </c>
      <c r="C6" s="100">
        <f>INT((B6/Assumptions!$C$12)^Assumptions!$C$11)</f>
        <v/>
      </c>
      <c r="D6" s="100">
        <f>D5+C6</f>
        <v/>
      </c>
      <c r="E6" s="109">
        <f>D6*Assumptions!$C$13</f>
        <v/>
      </c>
      <c r="F6" s="110">
        <f>"+"&amp;TEXT(E6,"0.0%")&amp;" global production"</f>
        <v/>
      </c>
    </row>
    <row r="7" ht="15" customHeight="1" s="67">
      <c r="B7" s="105" t="n">
        <v>1000000</v>
      </c>
      <c r="C7" s="103">
        <f>INT((B7/Assumptions!$C$12)^Assumptions!$C$11)</f>
        <v/>
      </c>
      <c r="D7" s="103">
        <f>D6+C7</f>
        <v/>
      </c>
      <c r="E7" s="106">
        <f>D7*Assumptions!$C$13</f>
        <v/>
      </c>
      <c r="F7" s="107">
        <f>"+"&amp;TEXT(E7,"0.0%")&amp;" global production"</f>
        <v/>
      </c>
    </row>
    <row r="8" ht="15" customHeight="1" s="67">
      <c r="B8" s="108" t="n">
        <v>5000000</v>
      </c>
      <c r="C8" s="100">
        <f>INT((B8/Assumptions!$C$12)^Assumptions!$C$11)</f>
        <v/>
      </c>
      <c r="D8" s="100">
        <f>D7+C8</f>
        <v/>
      </c>
      <c r="E8" s="109">
        <f>D8*Assumptions!$C$13</f>
        <v/>
      </c>
      <c r="F8" s="110">
        <f>"+"&amp;TEXT(E8,"0.0%")&amp;" global production"</f>
        <v/>
      </c>
    </row>
    <row r="9" ht="15" customHeight="1" s="67">
      <c r="B9" s="105" t="n">
        <v>25000000</v>
      </c>
      <c r="C9" s="103">
        <f>INT((B9/Assumptions!$C$12)^Assumptions!$C$11)</f>
        <v/>
      </c>
      <c r="D9" s="103">
        <f>D8+C9</f>
        <v/>
      </c>
      <c r="E9" s="106">
        <f>D9*Assumptions!$C$13</f>
        <v/>
      </c>
      <c r="F9" s="107">
        <f>"+"&amp;TEXT(E9,"0.0%")&amp;" global production"</f>
        <v/>
      </c>
    </row>
    <row r="10" ht="15" customHeight="1" s="67">
      <c r="B10" s="108" t="n">
        <v>100000000</v>
      </c>
      <c r="C10" s="100">
        <f>INT((B10/Assumptions!$C$12)^Assumptions!$C$11)</f>
        <v/>
      </c>
      <c r="D10" s="100">
        <f>D9+C10</f>
        <v/>
      </c>
      <c r="E10" s="109">
        <f>D10*Assumptions!$C$13</f>
        <v/>
      </c>
      <c r="F10" s="110">
        <f>"+"&amp;TEXT(E10,"0.0%")&amp;" global production"</f>
        <v/>
      </c>
    </row>
    <row r="11" ht="15" customHeight="1" s="67">
      <c r="B11" s="105" t="n">
        <v>500000000</v>
      </c>
      <c r="C11" s="103">
        <f>INT((B11/Assumptions!$C$12)^Assumptions!$C$11)</f>
        <v/>
      </c>
      <c r="D11" s="103">
        <f>D10+C11</f>
        <v/>
      </c>
      <c r="E11" s="106">
        <f>D11*Assumptions!$C$13</f>
        <v/>
      </c>
      <c r="F11" s="107">
        <f>"+"&amp;TEXT(E11,"0.0%")&amp;" global production"</f>
        <v/>
      </c>
    </row>
    <row r="13" ht="15" customHeight="1" s="67">
      <c r="B13" s="69" t="inlineStr">
        <is>
          <t>Tune 'Prestige divisor' &amp; 'Prestige curve power' in Assumptions. Lower power = flatter (more diminishing).</t>
        </is>
      </c>
    </row>
    <row r="14" ht="15" customHeight="1" s="67">
      <c r="B14" s="69" t="inlineStr">
        <is>
          <t>Rule of thumb: a prestige should feel worth it only after production clearly stalls (income &lt;&lt; cost).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J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8" customWidth="1" style="66" min="2" max="2"/>
    <col width="10" customWidth="1" style="66" min="3" max="3"/>
    <col width="12" customWidth="1" style="66" min="4" max="5"/>
    <col width="14" customWidth="1" style="66" min="6" max="7"/>
    <col width="16" customWidth="1" style="66" min="8" max="9"/>
    <col width="18" customWidth="1" style="66" min="10" max="10"/>
  </cols>
  <sheetData>
    <row r="1" ht="17.25" customHeight="1" s="67">
      <c r="B1" s="111" t="inlineStr">
        <is>
          <t>WAR / CONQUEST — SECTOR GALAXY</t>
        </is>
      </c>
    </row>
    <row r="2" ht="15" customHeight="1" s="67">
      <c r="B2" s="69" t="inlineStr">
        <is>
          <t>Galaxy split into sectors by tier. Same mechanics, scaled by tier. Conquering a sector unlocks the next.</t>
        </is>
      </c>
    </row>
    <row r="3" ht="15" customHeight="1" s="67">
      <c r="B3" s="69" t="inlineStr">
        <is>
          <t>Tier cost scale &gt; output scale on purpose: early conquest is quick, full galaxy takes weeks.</t>
        </is>
      </c>
    </row>
    <row r="5" ht="15" customHeight="1" s="67">
      <c r="B5" s="84" t="inlineStr">
        <is>
          <t>Vrrk timer cut (hrs)</t>
        </is>
      </c>
      <c r="D5" s="98">
        <f>Vassals!F8</f>
        <v/>
      </c>
      <c r="F5" s="84" t="inlineStr">
        <is>
          <t>HR Muduru discount</t>
        </is>
      </c>
      <c r="H5" s="98">
        <f>Vassals!F9</f>
        <v/>
      </c>
    </row>
    <row r="7" ht="15" customHeight="1" s="67">
      <c r="B7" s="72" t="inlineStr">
        <is>
          <t>Region</t>
        </is>
      </c>
      <c r="C7" s="72" t="inlineStr">
        <is>
          <t>Tier</t>
        </is>
      </c>
      <c r="D7" s="72" t="inlineStr">
        <is>
          <t>Yields</t>
        </is>
      </c>
      <c r="E7" s="72" t="inlineStr">
        <is>
          <t>Mech-Bros</t>
        </is>
      </c>
      <c r="F7" s="72" t="inlineStr">
        <is>
          <t>Red Pill cost</t>
        </is>
      </c>
      <c r="G7" s="72" t="inlineStr">
        <is>
          <t>War timer (hrs)</t>
        </is>
      </c>
      <c r="H7" s="72" t="inlineStr">
        <is>
          <t>Base output/s</t>
        </is>
      </c>
      <c r="I7" s="72" t="inlineStr">
        <is>
          <t>Eff output/s</t>
        </is>
      </c>
      <c r="J7" s="72" t="inlineStr">
        <is>
          <t>Cumulative req</t>
        </is>
      </c>
    </row>
    <row r="8" ht="15" customHeight="1" s="67">
      <c r="B8" s="112" t="inlineStr">
        <is>
          <t>— Core Sector (Tier 1) —</t>
        </is>
      </c>
      <c r="C8" s="113" t="n"/>
      <c r="D8" s="113" t="n"/>
      <c r="E8" s="113" t="n"/>
      <c r="F8" s="113" t="n"/>
      <c r="G8" s="113" t="n"/>
      <c r="H8" s="113" t="n"/>
      <c r="I8" s="113" t="n"/>
      <c r="J8" s="113" t="n"/>
    </row>
    <row r="9" ht="15" customHeight="1" s="67">
      <c r="B9" s="73" t="inlineStr">
        <is>
          <t>Cor-01</t>
        </is>
      </c>
      <c r="C9" s="94" t="n">
        <v>1</v>
      </c>
      <c r="D9" s="81" t="inlineStr">
        <is>
          <t>Sun Drips</t>
        </is>
      </c>
      <c r="E9" s="94" t="n">
        <v>2</v>
      </c>
      <c r="F9" s="103">
        <f>E9*Assumptions!$C$30*Assumptions!$C$31^(C9-1)*(1-$H$5)</f>
        <v/>
      </c>
      <c r="G9" s="104">
        <f>MAX(Assumptions!$C$29*Assumptions!$C$33^(C9-1)-$D$5,1)</f>
        <v/>
      </c>
      <c r="H9" s="104">
        <f>E9*0.4</f>
        <v/>
      </c>
      <c r="I9" s="104">
        <f>H9*Assumptions!$C$32^(C9-1)</f>
        <v/>
      </c>
      <c r="J9" s="103">
        <f>F9</f>
        <v/>
      </c>
    </row>
    <row r="10" ht="15" customHeight="1" s="67">
      <c r="B10" s="77" t="inlineStr">
        <is>
          <t>Cor-02</t>
        </is>
      </c>
      <c r="C10" s="114" t="n">
        <v>1</v>
      </c>
      <c r="D10" s="83" t="inlineStr">
        <is>
          <t>Pepper Melange</t>
        </is>
      </c>
      <c r="E10" s="114" t="n">
        <v>2</v>
      </c>
      <c r="F10" s="100">
        <f>E10*Assumptions!$C$30*Assumptions!$C$31^(C10-1)*(1-$H$5)</f>
        <v/>
      </c>
      <c r="G10" s="101">
        <f>MAX(Assumptions!$C$29*Assumptions!$C$33^(C10-1)-$D$5,1)</f>
        <v/>
      </c>
      <c r="H10" s="101">
        <f>E10*0.4</f>
        <v/>
      </c>
      <c r="I10" s="101">
        <f>H10*Assumptions!$C$32^(C10-1)</f>
        <v/>
      </c>
      <c r="J10" s="100">
        <f>N(J9)+F10</f>
        <v/>
      </c>
    </row>
    <row r="11" ht="15" customHeight="1" s="67">
      <c r="B11" s="73" t="inlineStr">
        <is>
          <t>Cor-03</t>
        </is>
      </c>
      <c r="C11" s="94" t="n">
        <v>1</v>
      </c>
      <c r="D11" s="81" t="inlineStr">
        <is>
          <t>Sun Drips</t>
        </is>
      </c>
      <c r="E11" s="94" t="n">
        <v>3</v>
      </c>
      <c r="F11" s="103">
        <f>E11*Assumptions!$C$30*Assumptions!$C$31^(C11-1)*(1-$H$5)</f>
        <v/>
      </c>
      <c r="G11" s="104">
        <f>MAX(Assumptions!$C$29*Assumptions!$C$33^(C11-1)-$D$5,1)</f>
        <v/>
      </c>
      <c r="H11" s="104">
        <f>E11*0.4</f>
        <v/>
      </c>
      <c r="I11" s="104">
        <f>H11*Assumptions!$C$32^(C11-1)</f>
        <v/>
      </c>
      <c r="J11" s="103">
        <f>N(J10)+F11</f>
        <v/>
      </c>
    </row>
    <row r="12" ht="15" customHeight="1" s="67">
      <c r="B12" s="77" t="inlineStr">
        <is>
          <t>Cor-04</t>
        </is>
      </c>
      <c r="C12" s="114" t="n">
        <v>1</v>
      </c>
      <c r="D12" s="83" t="inlineStr">
        <is>
          <t>Pepper Melange</t>
        </is>
      </c>
      <c r="E12" s="114" t="n">
        <v>3</v>
      </c>
      <c r="F12" s="100">
        <f>E12*Assumptions!$C$30*Assumptions!$C$31^(C12-1)*(1-$H$5)</f>
        <v/>
      </c>
      <c r="G12" s="101">
        <f>MAX(Assumptions!$C$29*Assumptions!$C$33^(C12-1)-$D$5,1)</f>
        <v/>
      </c>
      <c r="H12" s="101">
        <f>E12*0.4</f>
        <v/>
      </c>
      <c r="I12" s="101">
        <f>H12*Assumptions!$C$32^(C12-1)</f>
        <v/>
      </c>
      <c r="J12" s="100">
        <f>N(J11)+F12</f>
        <v/>
      </c>
    </row>
    <row r="13" ht="15" customHeight="1" s="67">
      <c r="B13" s="73" t="inlineStr">
        <is>
          <t>Cor-05</t>
        </is>
      </c>
      <c r="C13" s="94" t="n">
        <v>1</v>
      </c>
      <c r="D13" s="81" t="inlineStr">
        <is>
          <t>Sun Drips</t>
        </is>
      </c>
      <c r="E13" s="94" t="n">
        <v>3</v>
      </c>
      <c r="F13" s="103">
        <f>E13*Assumptions!$C$30*Assumptions!$C$31^(C13-1)*(1-$H$5)</f>
        <v/>
      </c>
      <c r="G13" s="104">
        <f>MAX(Assumptions!$C$29*Assumptions!$C$33^(C13-1)-$D$5,1)</f>
        <v/>
      </c>
      <c r="H13" s="104">
        <f>E13*0.4</f>
        <v/>
      </c>
      <c r="I13" s="104">
        <f>H13*Assumptions!$C$32^(C13-1)</f>
        <v/>
      </c>
      <c r="J13" s="103">
        <f>N(J12)+F13</f>
        <v/>
      </c>
    </row>
    <row r="14" ht="15" customHeight="1" s="67">
      <c r="B14" s="77" t="inlineStr">
        <is>
          <t>Cor-06</t>
        </is>
      </c>
      <c r="C14" s="114" t="n">
        <v>1</v>
      </c>
      <c r="D14" s="83" t="inlineStr">
        <is>
          <t>Pepper Melange</t>
        </is>
      </c>
      <c r="E14" s="114" t="n">
        <v>4</v>
      </c>
      <c r="F14" s="100">
        <f>E14*Assumptions!$C$30*Assumptions!$C$31^(C14-1)*(1-$H$5)</f>
        <v/>
      </c>
      <c r="G14" s="101">
        <f>MAX(Assumptions!$C$29*Assumptions!$C$33^(C14-1)-$D$5,1)</f>
        <v/>
      </c>
      <c r="H14" s="101">
        <f>E14*0.4</f>
        <v/>
      </c>
      <c r="I14" s="101">
        <f>H14*Assumptions!$C$32^(C14-1)</f>
        <v/>
      </c>
      <c r="J14" s="100">
        <f>N(J13)+F14</f>
        <v/>
      </c>
    </row>
    <row r="15" ht="15" customHeight="1" s="67">
      <c r="B15" s="73" t="inlineStr">
        <is>
          <t>Cor-07</t>
        </is>
      </c>
      <c r="C15" s="94" t="n">
        <v>1</v>
      </c>
      <c r="D15" s="81" t="inlineStr">
        <is>
          <t>Sun Drips</t>
        </is>
      </c>
      <c r="E15" s="94" t="n">
        <v>4</v>
      </c>
      <c r="F15" s="103">
        <f>E15*Assumptions!$C$30*Assumptions!$C$31^(C15-1)*(1-$H$5)</f>
        <v/>
      </c>
      <c r="G15" s="104">
        <f>MAX(Assumptions!$C$29*Assumptions!$C$33^(C15-1)-$D$5,1)</f>
        <v/>
      </c>
      <c r="H15" s="104">
        <f>E15*0.4</f>
        <v/>
      </c>
      <c r="I15" s="104">
        <f>H15*Assumptions!$C$32^(C15-1)</f>
        <v/>
      </c>
      <c r="J15" s="103">
        <f>N(J14)+F15</f>
        <v/>
      </c>
    </row>
    <row r="16" ht="15" customHeight="1" s="67">
      <c r="B16" s="77" t="inlineStr">
        <is>
          <t>Cor-08</t>
        </is>
      </c>
      <c r="C16" s="114" t="n">
        <v>1</v>
      </c>
      <c r="D16" s="83" t="inlineStr">
        <is>
          <t>Pepper Melange</t>
        </is>
      </c>
      <c r="E16" s="114" t="n">
        <v>5</v>
      </c>
      <c r="F16" s="100">
        <f>E16*Assumptions!$C$30*Assumptions!$C$31^(C16-1)*(1-$H$5)</f>
        <v/>
      </c>
      <c r="G16" s="101">
        <f>MAX(Assumptions!$C$29*Assumptions!$C$33^(C16-1)-$D$5,1)</f>
        <v/>
      </c>
      <c r="H16" s="101">
        <f>E16*0.4</f>
        <v/>
      </c>
      <c r="I16" s="101">
        <f>H16*Assumptions!$C$32^(C16-1)</f>
        <v/>
      </c>
      <c r="J16" s="100">
        <f>N(J15)+F16</f>
        <v/>
      </c>
    </row>
    <row r="17" ht="15" customHeight="1" s="67">
      <c r="B17" s="73" t="inlineStr">
        <is>
          <t>Cor-09</t>
        </is>
      </c>
      <c r="C17" s="94" t="n">
        <v>1</v>
      </c>
      <c r="D17" s="81" t="inlineStr">
        <is>
          <t>Sun Drips</t>
        </is>
      </c>
      <c r="E17" s="94" t="n">
        <v>5</v>
      </c>
      <c r="F17" s="103">
        <f>E17*Assumptions!$C$30*Assumptions!$C$31^(C17-1)*(1-$H$5)</f>
        <v/>
      </c>
      <c r="G17" s="104">
        <f>MAX(Assumptions!$C$29*Assumptions!$C$33^(C17-1)-$D$5,1)</f>
        <v/>
      </c>
      <c r="H17" s="104">
        <f>E17*0.4</f>
        <v/>
      </c>
      <c r="I17" s="104">
        <f>H17*Assumptions!$C$32^(C17-1)</f>
        <v/>
      </c>
      <c r="J17" s="103">
        <f>N(J16)+F17</f>
        <v/>
      </c>
    </row>
    <row r="18" ht="15" customHeight="1" s="67">
      <c r="B18" s="77" t="inlineStr">
        <is>
          <t>Cor-10</t>
        </is>
      </c>
      <c r="C18" s="114" t="n">
        <v>1</v>
      </c>
      <c r="D18" s="83" t="inlineStr">
        <is>
          <t>Pepper Melange</t>
        </is>
      </c>
      <c r="E18" s="114" t="n">
        <v>6</v>
      </c>
      <c r="F18" s="100">
        <f>E18*Assumptions!$C$30*Assumptions!$C$31^(C18-1)*(1-$H$5)</f>
        <v/>
      </c>
      <c r="G18" s="101">
        <f>MAX(Assumptions!$C$29*Assumptions!$C$33^(C18-1)-$D$5,1)</f>
        <v/>
      </c>
      <c r="H18" s="101">
        <f>E18*0.4</f>
        <v/>
      </c>
      <c r="I18" s="101">
        <f>H18*Assumptions!$C$32^(C18-1)</f>
        <v/>
      </c>
      <c r="J18" s="100">
        <f>N(J17)+F18</f>
        <v/>
      </c>
    </row>
    <row r="19" ht="15" customHeight="1" s="67">
      <c r="B19" s="112" t="inlineStr">
        <is>
          <t>— Inner Ring Sector (Tier 2) —</t>
        </is>
      </c>
      <c r="C19" s="113" t="n"/>
      <c r="D19" s="113" t="n"/>
      <c r="E19" s="113" t="n"/>
      <c r="F19" s="113" t="n"/>
      <c r="G19" s="113" t="n"/>
      <c r="H19" s="113" t="n"/>
      <c r="I19" s="113" t="n"/>
      <c r="J19" s="113" t="n"/>
    </row>
    <row r="20" ht="15" customHeight="1" s="67">
      <c r="B20" s="77" t="inlineStr">
        <is>
          <t>Inn-01</t>
        </is>
      </c>
      <c r="C20" s="114" t="n">
        <v>2</v>
      </c>
      <c r="D20" s="83" t="inlineStr">
        <is>
          <t>Sun Drips</t>
        </is>
      </c>
      <c r="E20" s="114" t="n">
        <v>4</v>
      </c>
      <c r="F20" s="100">
        <f>E20*Assumptions!$C$30*Assumptions!$C$31^(C20-1)*(1-$H$5)</f>
        <v/>
      </c>
      <c r="G20" s="101">
        <f>MAX(Assumptions!$C$29*Assumptions!$C$33^(C20-1)-$D$5,1)</f>
        <v/>
      </c>
      <c r="H20" s="101">
        <f>E20*0.4</f>
        <v/>
      </c>
      <c r="I20" s="101">
        <f>H20*Assumptions!$C$32^(C20-1)</f>
        <v/>
      </c>
      <c r="J20" s="100">
        <f>N(J19)+F20</f>
        <v/>
      </c>
    </row>
    <row r="21" ht="15" customHeight="1" s="67">
      <c r="B21" s="73" t="inlineStr">
        <is>
          <t>Inn-02</t>
        </is>
      </c>
      <c r="C21" s="94" t="n">
        <v>2</v>
      </c>
      <c r="D21" s="81" t="inlineStr">
        <is>
          <t>Pepper Melange</t>
        </is>
      </c>
      <c r="E21" s="94" t="n">
        <v>4</v>
      </c>
      <c r="F21" s="103">
        <f>E21*Assumptions!$C$30*Assumptions!$C$31^(C21-1)*(1-$H$5)</f>
        <v/>
      </c>
      <c r="G21" s="104">
        <f>MAX(Assumptions!$C$29*Assumptions!$C$33^(C21-1)-$D$5,1)</f>
        <v/>
      </c>
      <c r="H21" s="104">
        <f>E21*0.4</f>
        <v/>
      </c>
      <c r="I21" s="104">
        <f>H21*Assumptions!$C$32^(C21-1)</f>
        <v/>
      </c>
      <c r="J21" s="103">
        <f>N(J20)+F21</f>
        <v/>
      </c>
    </row>
    <row r="22" ht="15" customHeight="1" s="67">
      <c r="B22" s="77" t="inlineStr">
        <is>
          <t>Inn-03</t>
        </is>
      </c>
      <c r="C22" s="114" t="n">
        <v>2</v>
      </c>
      <c r="D22" s="83" t="inlineStr">
        <is>
          <t>Sun Drips</t>
        </is>
      </c>
      <c r="E22" s="114" t="n">
        <v>5</v>
      </c>
      <c r="F22" s="100">
        <f>E22*Assumptions!$C$30*Assumptions!$C$31^(C22-1)*(1-$H$5)</f>
        <v/>
      </c>
      <c r="G22" s="101">
        <f>MAX(Assumptions!$C$29*Assumptions!$C$33^(C22-1)-$D$5,1)</f>
        <v/>
      </c>
      <c r="H22" s="101">
        <f>E22*0.4</f>
        <v/>
      </c>
      <c r="I22" s="101">
        <f>H22*Assumptions!$C$32^(C22-1)</f>
        <v/>
      </c>
      <c r="J22" s="100">
        <f>N(J21)+F22</f>
        <v/>
      </c>
    </row>
    <row r="23" ht="15" customHeight="1" s="67">
      <c r="B23" s="73" t="inlineStr">
        <is>
          <t>Inn-04</t>
        </is>
      </c>
      <c r="C23" s="94" t="n">
        <v>2</v>
      </c>
      <c r="D23" s="81" t="inlineStr">
        <is>
          <t>Pepper Melange</t>
        </is>
      </c>
      <c r="E23" s="94" t="n">
        <v>5</v>
      </c>
      <c r="F23" s="103">
        <f>E23*Assumptions!$C$30*Assumptions!$C$31^(C23-1)*(1-$H$5)</f>
        <v/>
      </c>
      <c r="G23" s="104">
        <f>MAX(Assumptions!$C$29*Assumptions!$C$33^(C23-1)-$D$5,1)</f>
        <v/>
      </c>
      <c r="H23" s="104">
        <f>E23*0.4</f>
        <v/>
      </c>
      <c r="I23" s="104">
        <f>H23*Assumptions!$C$32^(C23-1)</f>
        <v/>
      </c>
      <c r="J23" s="103">
        <f>N(J22)+F23</f>
        <v/>
      </c>
    </row>
    <row r="24" ht="15" customHeight="1" s="67">
      <c r="B24" s="77" t="inlineStr">
        <is>
          <t>Inn-05</t>
        </is>
      </c>
      <c r="C24" s="114" t="n">
        <v>2</v>
      </c>
      <c r="D24" s="83" t="inlineStr">
        <is>
          <t>Sun Drips</t>
        </is>
      </c>
      <c r="E24" s="114" t="n">
        <v>6</v>
      </c>
      <c r="F24" s="100">
        <f>E24*Assumptions!$C$30*Assumptions!$C$31^(C24-1)*(1-$H$5)</f>
        <v/>
      </c>
      <c r="G24" s="101">
        <f>MAX(Assumptions!$C$29*Assumptions!$C$33^(C24-1)-$D$5,1)</f>
        <v/>
      </c>
      <c r="H24" s="101">
        <f>E24*0.4</f>
        <v/>
      </c>
      <c r="I24" s="101">
        <f>H24*Assumptions!$C$32^(C24-1)</f>
        <v/>
      </c>
      <c r="J24" s="100">
        <f>N(J23)+F24</f>
        <v/>
      </c>
    </row>
    <row r="25" ht="15" customHeight="1" s="67">
      <c r="B25" s="73" t="inlineStr">
        <is>
          <t>Inn-06</t>
        </is>
      </c>
      <c r="C25" s="94" t="n">
        <v>2</v>
      </c>
      <c r="D25" s="81" t="inlineStr">
        <is>
          <t>Pepper Melange</t>
        </is>
      </c>
      <c r="E25" s="94" t="n">
        <v>6</v>
      </c>
      <c r="F25" s="103">
        <f>E25*Assumptions!$C$30*Assumptions!$C$31^(C25-1)*(1-$H$5)</f>
        <v/>
      </c>
      <c r="G25" s="104">
        <f>MAX(Assumptions!$C$29*Assumptions!$C$33^(C25-1)-$D$5,1)</f>
        <v/>
      </c>
      <c r="H25" s="104">
        <f>E25*0.4</f>
        <v/>
      </c>
      <c r="I25" s="104">
        <f>H25*Assumptions!$C$32^(C25-1)</f>
        <v/>
      </c>
      <c r="J25" s="103">
        <f>N(J24)+F25</f>
        <v/>
      </c>
    </row>
    <row r="26" ht="15" customHeight="1" s="67">
      <c r="B26" s="77" t="inlineStr">
        <is>
          <t>Inn-07</t>
        </is>
      </c>
      <c r="C26" s="114" t="n">
        <v>2</v>
      </c>
      <c r="D26" s="83" t="inlineStr">
        <is>
          <t>Sun Drips</t>
        </is>
      </c>
      <c r="E26" s="114" t="n">
        <v>7</v>
      </c>
      <c r="F26" s="100">
        <f>E26*Assumptions!$C$30*Assumptions!$C$31^(C26-1)*(1-$H$5)</f>
        <v/>
      </c>
      <c r="G26" s="101">
        <f>MAX(Assumptions!$C$29*Assumptions!$C$33^(C26-1)-$D$5,1)</f>
        <v/>
      </c>
      <c r="H26" s="101">
        <f>E26*0.4</f>
        <v/>
      </c>
      <c r="I26" s="101">
        <f>H26*Assumptions!$C$32^(C26-1)</f>
        <v/>
      </c>
      <c r="J26" s="100">
        <f>N(J25)+F26</f>
        <v/>
      </c>
    </row>
    <row r="27" ht="15" customHeight="1" s="67">
      <c r="B27" s="73" t="inlineStr">
        <is>
          <t>Inn-08</t>
        </is>
      </c>
      <c r="C27" s="94" t="n">
        <v>2</v>
      </c>
      <c r="D27" s="81" t="inlineStr">
        <is>
          <t>Pepper Melange</t>
        </is>
      </c>
      <c r="E27" s="94" t="n">
        <v>7</v>
      </c>
      <c r="F27" s="103">
        <f>E27*Assumptions!$C$30*Assumptions!$C$31^(C27-1)*(1-$H$5)</f>
        <v/>
      </c>
      <c r="G27" s="104">
        <f>MAX(Assumptions!$C$29*Assumptions!$C$33^(C27-1)-$D$5,1)</f>
        <v/>
      </c>
      <c r="H27" s="104">
        <f>E27*0.4</f>
        <v/>
      </c>
      <c r="I27" s="104">
        <f>H27*Assumptions!$C$32^(C27-1)</f>
        <v/>
      </c>
      <c r="J27" s="103">
        <f>N(J26)+F27</f>
        <v/>
      </c>
    </row>
    <row r="28" ht="15" customHeight="1" s="67">
      <c r="B28" s="77" t="inlineStr">
        <is>
          <t>Inn-09</t>
        </is>
      </c>
      <c r="C28" s="114" t="n">
        <v>2</v>
      </c>
      <c r="D28" s="83" t="inlineStr">
        <is>
          <t>Sun Drips</t>
        </is>
      </c>
      <c r="E28" s="114" t="n">
        <v>8</v>
      </c>
      <c r="F28" s="100">
        <f>E28*Assumptions!$C$30*Assumptions!$C$31^(C28-1)*(1-$H$5)</f>
        <v/>
      </c>
      <c r="G28" s="101">
        <f>MAX(Assumptions!$C$29*Assumptions!$C$33^(C28-1)-$D$5,1)</f>
        <v/>
      </c>
      <c r="H28" s="101">
        <f>E28*0.4</f>
        <v/>
      </c>
      <c r="I28" s="101">
        <f>H28*Assumptions!$C$32^(C28-1)</f>
        <v/>
      </c>
      <c r="J28" s="100">
        <f>N(J27)+F28</f>
        <v/>
      </c>
    </row>
    <row r="29" ht="15" customHeight="1" s="67">
      <c r="B29" s="73" t="inlineStr">
        <is>
          <t>Inn-10</t>
        </is>
      </c>
      <c r="C29" s="94" t="n">
        <v>2</v>
      </c>
      <c r="D29" s="81" t="inlineStr">
        <is>
          <t>Pepper Melange</t>
        </is>
      </c>
      <c r="E29" s="94" t="n">
        <v>9</v>
      </c>
      <c r="F29" s="103">
        <f>E29*Assumptions!$C$30*Assumptions!$C$31^(C29-1)*(1-$H$5)</f>
        <v/>
      </c>
      <c r="G29" s="104">
        <f>MAX(Assumptions!$C$29*Assumptions!$C$33^(C29-1)-$D$5,1)</f>
        <v/>
      </c>
      <c r="H29" s="104">
        <f>E29*0.4</f>
        <v/>
      </c>
      <c r="I29" s="104">
        <f>H29*Assumptions!$C$32^(C29-1)</f>
        <v/>
      </c>
      <c r="J29" s="103">
        <f>N(J28)+F29</f>
        <v/>
      </c>
    </row>
    <row r="30" ht="15" customHeight="1" s="67">
      <c r="B30" s="112" t="inlineStr">
        <is>
          <t>— Mid Reach Sector (Tier 3) —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</row>
    <row r="31" ht="15" customHeight="1" s="67">
      <c r="B31" s="73" t="inlineStr">
        <is>
          <t>Mid-01</t>
        </is>
      </c>
      <c r="C31" s="94" t="n">
        <v>3</v>
      </c>
      <c r="D31" s="81" t="inlineStr">
        <is>
          <t>Sun Drips</t>
        </is>
      </c>
      <c r="E31" s="94" t="n">
        <v>6</v>
      </c>
      <c r="F31" s="103">
        <f>E31*Assumptions!$C$30*Assumptions!$C$31^(C31-1)*(1-$H$5)</f>
        <v/>
      </c>
      <c r="G31" s="104">
        <f>MAX(Assumptions!$C$29*Assumptions!$C$33^(C31-1)-$D$5,1)</f>
        <v/>
      </c>
      <c r="H31" s="104">
        <f>E31*0.4</f>
        <v/>
      </c>
      <c r="I31" s="104">
        <f>H31*Assumptions!$C$32^(C31-1)</f>
        <v/>
      </c>
      <c r="J31" s="103">
        <f>N(J30)+F31</f>
        <v/>
      </c>
    </row>
    <row r="32" ht="15" customHeight="1" s="67">
      <c r="B32" s="77" t="inlineStr">
        <is>
          <t>Mid-02</t>
        </is>
      </c>
      <c r="C32" s="114" t="n">
        <v>3</v>
      </c>
      <c r="D32" s="83" t="inlineStr">
        <is>
          <t>Pepper Melange</t>
        </is>
      </c>
      <c r="E32" s="114" t="n">
        <v>6</v>
      </c>
      <c r="F32" s="100">
        <f>E32*Assumptions!$C$30*Assumptions!$C$31^(C32-1)*(1-$H$5)</f>
        <v/>
      </c>
      <c r="G32" s="101">
        <f>MAX(Assumptions!$C$29*Assumptions!$C$33^(C32-1)-$D$5,1)</f>
        <v/>
      </c>
      <c r="H32" s="101">
        <f>E32*0.4</f>
        <v/>
      </c>
      <c r="I32" s="101">
        <f>H32*Assumptions!$C$32^(C32-1)</f>
        <v/>
      </c>
      <c r="J32" s="100">
        <f>N(J31)+F32</f>
        <v/>
      </c>
    </row>
    <row r="33" ht="15" customHeight="1" s="67">
      <c r="B33" s="73" t="inlineStr">
        <is>
          <t>Mid-03</t>
        </is>
      </c>
      <c r="C33" s="94" t="n">
        <v>3</v>
      </c>
      <c r="D33" s="81" t="inlineStr">
        <is>
          <t>Sun Drips</t>
        </is>
      </c>
      <c r="E33" s="94" t="n">
        <v>7</v>
      </c>
      <c r="F33" s="103">
        <f>E33*Assumptions!$C$30*Assumptions!$C$31^(C33-1)*(1-$H$5)</f>
        <v/>
      </c>
      <c r="G33" s="104">
        <f>MAX(Assumptions!$C$29*Assumptions!$C$33^(C33-1)-$D$5,1)</f>
        <v/>
      </c>
      <c r="H33" s="104">
        <f>E33*0.4</f>
        <v/>
      </c>
      <c r="I33" s="104">
        <f>H33*Assumptions!$C$32^(C33-1)</f>
        <v/>
      </c>
      <c r="J33" s="103">
        <f>N(J32)+F33</f>
        <v/>
      </c>
    </row>
    <row r="34" ht="15" customHeight="1" s="67">
      <c r="B34" s="77" t="inlineStr">
        <is>
          <t>Mid-04</t>
        </is>
      </c>
      <c r="C34" s="114" t="n">
        <v>3</v>
      </c>
      <c r="D34" s="83" t="inlineStr">
        <is>
          <t>Pepper Melange</t>
        </is>
      </c>
      <c r="E34" s="114" t="n">
        <v>8</v>
      </c>
      <c r="F34" s="100">
        <f>E34*Assumptions!$C$30*Assumptions!$C$31^(C34-1)*(1-$H$5)</f>
        <v/>
      </c>
      <c r="G34" s="101">
        <f>MAX(Assumptions!$C$29*Assumptions!$C$33^(C34-1)-$D$5,1)</f>
        <v/>
      </c>
      <c r="H34" s="101">
        <f>E34*0.4</f>
        <v/>
      </c>
      <c r="I34" s="101">
        <f>H34*Assumptions!$C$32^(C34-1)</f>
        <v/>
      </c>
      <c r="J34" s="100">
        <f>N(J33)+F34</f>
        <v/>
      </c>
    </row>
    <row r="35" ht="15" customHeight="1" s="67">
      <c r="B35" s="73" t="inlineStr">
        <is>
          <t>Mid-05</t>
        </is>
      </c>
      <c r="C35" s="94" t="n">
        <v>3</v>
      </c>
      <c r="D35" s="81" t="inlineStr">
        <is>
          <t>Sun Drips</t>
        </is>
      </c>
      <c r="E35" s="94" t="n">
        <v>9</v>
      </c>
      <c r="F35" s="103">
        <f>E35*Assumptions!$C$30*Assumptions!$C$31^(C35-1)*(1-$H$5)</f>
        <v/>
      </c>
      <c r="G35" s="104">
        <f>MAX(Assumptions!$C$29*Assumptions!$C$33^(C35-1)-$D$5,1)</f>
        <v/>
      </c>
      <c r="H35" s="104">
        <f>E35*0.4</f>
        <v/>
      </c>
      <c r="I35" s="104">
        <f>H35*Assumptions!$C$32^(C35-1)</f>
        <v/>
      </c>
      <c r="J35" s="103">
        <f>N(J34)+F35</f>
        <v/>
      </c>
    </row>
    <row r="36" ht="15" customHeight="1" s="67">
      <c r="B36" s="77" t="inlineStr">
        <is>
          <t>Mid-06</t>
        </is>
      </c>
      <c r="C36" s="114" t="n">
        <v>3</v>
      </c>
      <c r="D36" s="83" t="inlineStr">
        <is>
          <t>Pepper Melange</t>
        </is>
      </c>
      <c r="E36" s="114" t="n">
        <v>9</v>
      </c>
      <c r="F36" s="100">
        <f>E36*Assumptions!$C$30*Assumptions!$C$31^(C36-1)*(1-$H$5)</f>
        <v/>
      </c>
      <c r="G36" s="101">
        <f>MAX(Assumptions!$C$29*Assumptions!$C$33^(C36-1)-$D$5,1)</f>
        <v/>
      </c>
      <c r="H36" s="101">
        <f>E36*0.4</f>
        <v/>
      </c>
      <c r="I36" s="101">
        <f>H36*Assumptions!$C$32^(C36-1)</f>
        <v/>
      </c>
      <c r="J36" s="100">
        <f>N(J35)+F36</f>
        <v/>
      </c>
    </row>
    <row r="37" ht="15" customHeight="1" s="67">
      <c r="B37" s="73" t="inlineStr">
        <is>
          <t>Mid-07</t>
        </is>
      </c>
      <c r="C37" s="94" t="n">
        <v>3</v>
      </c>
      <c r="D37" s="81" t="inlineStr">
        <is>
          <t>Sun Drips</t>
        </is>
      </c>
      <c r="E37" s="94" t="n">
        <v>10</v>
      </c>
      <c r="F37" s="103">
        <f>E37*Assumptions!$C$30*Assumptions!$C$31^(C37-1)*(1-$H$5)</f>
        <v/>
      </c>
      <c r="G37" s="104">
        <f>MAX(Assumptions!$C$29*Assumptions!$C$33^(C37-1)-$D$5,1)</f>
        <v/>
      </c>
      <c r="H37" s="104">
        <f>E37*0.4</f>
        <v/>
      </c>
      <c r="I37" s="104">
        <f>H37*Assumptions!$C$32^(C37-1)</f>
        <v/>
      </c>
      <c r="J37" s="103">
        <f>N(J36)+F37</f>
        <v/>
      </c>
    </row>
    <row r="38" ht="15" customHeight="1" s="67">
      <c r="B38" s="77" t="inlineStr">
        <is>
          <t>Mid-08</t>
        </is>
      </c>
      <c r="C38" s="114" t="n">
        <v>3</v>
      </c>
      <c r="D38" s="83" t="inlineStr">
        <is>
          <t>Pepper Melange</t>
        </is>
      </c>
      <c r="E38" s="114" t="n">
        <v>11</v>
      </c>
      <c r="F38" s="100">
        <f>E38*Assumptions!$C$30*Assumptions!$C$31^(C38-1)*(1-$H$5)</f>
        <v/>
      </c>
      <c r="G38" s="101">
        <f>MAX(Assumptions!$C$29*Assumptions!$C$33^(C38-1)-$D$5,1)</f>
        <v/>
      </c>
      <c r="H38" s="101">
        <f>E38*0.4</f>
        <v/>
      </c>
      <c r="I38" s="101">
        <f>H38*Assumptions!$C$32^(C38-1)</f>
        <v/>
      </c>
      <c r="J38" s="100">
        <f>N(J37)+F38</f>
        <v/>
      </c>
    </row>
    <row r="39" ht="15" customHeight="1" s="67">
      <c r="B39" s="73" t="inlineStr">
        <is>
          <t>Mid-09</t>
        </is>
      </c>
      <c r="C39" s="94" t="n">
        <v>3</v>
      </c>
      <c r="D39" s="81" t="inlineStr">
        <is>
          <t>Sun Drips</t>
        </is>
      </c>
      <c r="E39" s="94" t="n">
        <v>12</v>
      </c>
      <c r="F39" s="103">
        <f>E39*Assumptions!$C$30*Assumptions!$C$31^(C39-1)*(1-$H$5)</f>
        <v/>
      </c>
      <c r="G39" s="104">
        <f>MAX(Assumptions!$C$29*Assumptions!$C$33^(C39-1)-$D$5,1)</f>
        <v/>
      </c>
      <c r="H39" s="104">
        <f>E39*0.4</f>
        <v/>
      </c>
      <c r="I39" s="104">
        <f>H39*Assumptions!$C$32^(C39-1)</f>
        <v/>
      </c>
      <c r="J39" s="103">
        <f>N(J38)+F39</f>
        <v/>
      </c>
    </row>
    <row r="40" ht="15" customHeight="1" s="67">
      <c r="B40" s="77" t="inlineStr">
        <is>
          <t>Mid-10</t>
        </is>
      </c>
      <c r="C40" s="114" t="n">
        <v>3</v>
      </c>
      <c r="D40" s="83" t="inlineStr">
        <is>
          <t>Pepper Melange</t>
        </is>
      </c>
      <c r="E40" s="114" t="n">
        <v>13</v>
      </c>
      <c r="F40" s="100">
        <f>E40*Assumptions!$C$30*Assumptions!$C$31^(C40-1)*(1-$H$5)</f>
        <v/>
      </c>
      <c r="G40" s="101">
        <f>MAX(Assumptions!$C$29*Assumptions!$C$33^(C40-1)-$D$5,1)</f>
        <v/>
      </c>
      <c r="H40" s="101">
        <f>E40*0.4</f>
        <v/>
      </c>
      <c r="I40" s="101">
        <f>H40*Assumptions!$C$32^(C40-1)</f>
        <v/>
      </c>
      <c r="J40" s="100">
        <f>N(J39)+F40</f>
        <v/>
      </c>
    </row>
    <row r="41" ht="15" customHeight="1" s="67">
      <c r="B41" s="112" t="inlineStr">
        <is>
          <t>— Outer Rim Sector (Tier 4) —</t>
        </is>
      </c>
      <c r="C41" s="113" t="n"/>
      <c r="D41" s="113" t="n"/>
      <c r="E41" s="113" t="n"/>
      <c r="F41" s="113" t="n"/>
      <c r="G41" s="113" t="n"/>
      <c r="H41" s="113" t="n"/>
      <c r="I41" s="113" t="n"/>
      <c r="J41" s="113" t="n"/>
    </row>
    <row r="42" ht="15" customHeight="1" s="67">
      <c r="B42" s="77" t="inlineStr">
        <is>
          <t>Out-01</t>
        </is>
      </c>
      <c r="C42" s="114" t="n">
        <v>4</v>
      </c>
      <c r="D42" s="83" t="inlineStr">
        <is>
          <t>Sun Drips</t>
        </is>
      </c>
      <c r="E42" s="114" t="n">
        <v>9</v>
      </c>
      <c r="F42" s="100">
        <f>E42*Assumptions!$C$30*Assumptions!$C$31^(C42-1)*(1-$H$5)</f>
        <v/>
      </c>
      <c r="G42" s="101">
        <f>MAX(Assumptions!$C$29*Assumptions!$C$33^(C42-1)-$D$5,1)</f>
        <v/>
      </c>
      <c r="H42" s="101">
        <f>E42*0.4</f>
        <v/>
      </c>
      <c r="I42" s="101">
        <f>H42*Assumptions!$C$32^(C42-1)</f>
        <v/>
      </c>
      <c r="J42" s="100">
        <f>N(J41)+F42</f>
        <v/>
      </c>
    </row>
    <row r="43" ht="15" customHeight="1" s="67">
      <c r="B43" s="73" t="inlineStr">
        <is>
          <t>Out-02</t>
        </is>
      </c>
      <c r="C43" s="94" t="n">
        <v>4</v>
      </c>
      <c r="D43" s="81" t="inlineStr">
        <is>
          <t>Pepper Melange</t>
        </is>
      </c>
      <c r="E43" s="94" t="n">
        <v>10</v>
      </c>
      <c r="F43" s="103">
        <f>E43*Assumptions!$C$30*Assumptions!$C$31^(C43-1)*(1-$H$5)</f>
        <v/>
      </c>
      <c r="G43" s="104">
        <f>MAX(Assumptions!$C$29*Assumptions!$C$33^(C43-1)-$D$5,1)</f>
        <v/>
      </c>
      <c r="H43" s="104">
        <f>E43*0.4</f>
        <v/>
      </c>
      <c r="I43" s="104">
        <f>H43*Assumptions!$C$32^(C43-1)</f>
        <v/>
      </c>
      <c r="J43" s="103">
        <f>N(J42)+F43</f>
        <v/>
      </c>
    </row>
    <row r="44" ht="15" customHeight="1" s="67">
      <c r="B44" s="77" t="inlineStr">
        <is>
          <t>Out-03</t>
        </is>
      </c>
      <c r="C44" s="114" t="n">
        <v>4</v>
      </c>
      <c r="D44" s="83" t="inlineStr">
        <is>
          <t>Sun Drips</t>
        </is>
      </c>
      <c r="E44" s="114" t="n">
        <v>11</v>
      </c>
      <c r="F44" s="100">
        <f>E44*Assumptions!$C$30*Assumptions!$C$31^(C44-1)*(1-$H$5)</f>
        <v/>
      </c>
      <c r="G44" s="101">
        <f>MAX(Assumptions!$C$29*Assumptions!$C$33^(C44-1)-$D$5,1)</f>
        <v/>
      </c>
      <c r="H44" s="101">
        <f>E44*0.4</f>
        <v/>
      </c>
      <c r="I44" s="101">
        <f>H44*Assumptions!$C$32^(C44-1)</f>
        <v/>
      </c>
      <c r="J44" s="100">
        <f>N(J43)+F44</f>
        <v/>
      </c>
    </row>
    <row r="45" ht="15" customHeight="1" s="67">
      <c r="B45" s="73" t="inlineStr">
        <is>
          <t>Out-04</t>
        </is>
      </c>
      <c r="C45" s="94" t="n">
        <v>4</v>
      </c>
      <c r="D45" s="81" t="inlineStr">
        <is>
          <t>Pepper Melange</t>
        </is>
      </c>
      <c r="E45" s="94" t="n">
        <v>12</v>
      </c>
      <c r="F45" s="103">
        <f>E45*Assumptions!$C$30*Assumptions!$C$31^(C45-1)*(1-$H$5)</f>
        <v/>
      </c>
      <c r="G45" s="104">
        <f>MAX(Assumptions!$C$29*Assumptions!$C$33^(C45-1)-$D$5,1)</f>
        <v/>
      </c>
      <c r="H45" s="104">
        <f>E45*0.4</f>
        <v/>
      </c>
      <c r="I45" s="104">
        <f>H45*Assumptions!$C$32^(C45-1)</f>
        <v/>
      </c>
      <c r="J45" s="103">
        <f>N(J44)+F45</f>
        <v/>
      </c>
    </row>
    <row r="46" ht="15" customHeight="1" s="67">
      <c r="B46" s="77" t="inlineStr">
        <is>
          <t>Out-05</t>
        </is>
      </c>
      <c r="C46" s="114" t="n">
        <v>4</v>
      </c>
      <c r="D46" s="83" t="inlineStr">
        <is>
          <t>Sun Drips</t>
        </is>
      </c>
      <c r="E46" s="114" t="n">
        <v>13</v>
      </c>
      <c r="F46" s="100">
        <f>E46*Assumptions!$C$30*Assumptions!$C$31^(C46-1)*(1-$H$5)</f>
        <v/>
      </c>
      <c r="G46" s="101">
        <f>MAX(Assumptions!$C$29*Assumptions!$C$33^(C46-1)-$D$5,1)</f>
        <v/>
      </c>
      <c r="H46" s="101">
        <f>E46*0.4</f>
        <v/>
      </c>
      <c r="I46" s="101">
        <f>H46*Assumptions!$C$32^(C46-1)</f>
        <v/>
      </c>
      <c r="J46" s="100">
        <f>N(J45)+F46</f>
        <v/>
      </c>
    </row>
    <row r="47" ht="15" customHeight="1" s="67">
      <c r="B47" s="73" t="inlineStr">
        <is>
          <t>Out-06</t>
        </is>
      </c>
      <c r="C47" s="94" t="n">
        <v>4</v>
      </c>
      <c r="D47" s="81" t="inlineStr">
        <is>
          <t>Pepper Melange</t>
        </is>
      </c>
      <c r="E47" s="94" t="n">
        <v>14</v>
      </c>
      <c r="F47" s="103">
        <f>E47*Assumptions!$C$30*Assumptions!$C$31^(C47-1)*(1-$H$5)</f>
        <v/>
      </c>
      <c r="G47" s="104">
        <f>MAX(Assumptions!$C$29*Assumptions!$C$33^(C47-1)-$D$5,1)</f>
        <v/>
      </c>
      <c r="H47" s="104">
        <f>E47*0.4</f>
        <v/>
      </c>
      <c r="I47" s="104">
        <f>H47*Assumptions!$C$32^(C47-1)</f>
        <v/>
      </c>
      <c r="J47" s="103">
        <f>N(J46)+F47</f>
        <v/>
      </c>
    </row>
    <row r="48" ht="15" customHeight="1" s="67">
      <c r="B48" s="77" t="inlineStr">
        <is>
          <t>Out-07</t>
        </is>
      </c>
      <c r="C48" s="114" t="n">
        <v>4</v>
      </c>
      <c r="D48" s="83" t="inlineStr">
        <is>
          <t>Sun Drips</t>
        </is>
      </c>
      <c r="E48" s="114" t="n">
        <v>15</v>
      </c>
      <c r="F48" s="100">
        <f>E48*Assumptions!$C$30*Assumptions!$C$31^(C48-1)*(1-$H$5)</f>
        <v/>
      </c>
      <c r="G48" s="101">
        <f>MAX(Assumptions!$C$29*Assumptions!$C$33^(C48-1)-$D$5,1)</f>
        <v/>
      </c>
      <c r="H48" s="101">
        <f>E48*0.4</f>
        <v/>
      </c>
      <c r="I48" s="101">
        <f>H48*Assumptions!$C$32^(C48-1)</f>
        <v/>
      </c>
      <c r="J48" s="100">
        <f>N(J47)+F48</f>
        <v/>
      </c>
    </row>
    <row r="49" ht="15" customHeight="1" s="67">
      <c r="B49" s="73" t="inlineStr">
        <is>
          <t>Out-08</t>
        </is>
      </c>
      <c r="C49" s="94" t="n">
        <v>4</v>
      </c>
      <c r="D49" s="81" t="inlineStr">
        <is>
          <t>Pepper Melange</t>
        </is>
      </c>
      <c r="E49" s="94" t="n">
        <v>16</v>
      </c>
      <c r="F49" s="103">
        <f>E49*Assumptions!$C$30*Assumptions!$C$31^(C49-1)*(1-$H$5)</f>
        <v/>
      </c>
      <c r="G49" s="104">
        <f>MAX(Assumptions!$C$29*Assumptions!$C$33^(C49-1)-$D$5,1)</f>
        <v/>
      </c>
      <c r="H49" s="104">
        <f>E49*0.4</f>
        <v/>
      </c>
      <c r="I49" s="104">
        <f>H49*Assumptions!$C$32^(C49-1)</f>
        <v/>
      </c>
      <c r="J49" s="103">
        <f>N(J48)+F49</f>
        <v/>
      </c>
    </row>
    <row r="50" ht="15" customHeight="1" s="67">
      <c r="B50" s="77" t="inlineStr">
        <is>
          <t>Out-09</t>
        </is>
      </c>
      <c r="C50" s="114" t="n">
        <v>4</v>
      </c>
      <c r="D50" s="83" t="inlineStr">
        <is>
          <t>Sun Drips</t>
        </is>
      </c>
      <c r="E50" s="114" t="n">
        <v>18</v>
      </c>
      <c r="F50" s="100">
        <f>E50*Assumptions!$C$30*Assumptions!$C$31^(C50-1)*(1-$H$5)</f>
        <v/>
      </c>
      <c r="G50" s="101">
        <f>MAX(Assumptions!$C$29*Assumptions!$C$33^(C50-1)-$D$5,1)</f>
        <v/>
      </c>
      <c r="H50" s="101">
        <f>E50*0.4</f>
        <v/>
      </c>
      <c r="I50" s="101">
        <f>H50*Assumptions!$C$32^(C50-1)</f>
        <v/>
      </c>
      <c r="J50" s="100">
        <f>N(J49)+F50</f>
        <v/>
      </c>
    </row>
    <row r="51" ht="15" customHeight="1" s="67">
      <c r="B51" s="73" t="inlineStr">
        <is>
          <t>Out-10</t>
        </is>
      </c>
      <c r="C51" s="94" t="n">
        <v>4</v>
      </c>
      <c r="D51" s="81" t="inlineStr">
        <is>
          <t>Pepper Melange</t>
        </is>
      </c>
      <c r="E51" s="94" t="n">
        <v>20</v>
      </c>
      <c r="F51" s="103">
        <f>E51*Assumptions!$C$30*Assumptions!$C$31^(C51-1)*(1-$H$5)</f>
        <v/>
      </c>
      <c r="G51" s="104">
        <f>MAX(Assumptions!$C$29*Assumptions!$C$33^(C51-1)-$D$5,1)</f>
        <v/>
      </c>
      <c r="H51" s="104">
        <f>E51*0.4</f>
        <v/>
      </c>
      <c r="I51" s="104">
        <f>H51*Assumptions!$C$32^(C51-1)</f>
        <v/>
      </c>
      <c r="J51" s="103">
        <f>N(J50)+F51</f>
        <v/>
      </c>
    </row>
    <row r="52" ht="15" customHeight="1" s="67">
      <c r="B52" s="112" t="inlineStr">
        <is>
          <t>— Fringe Sector (Tier 5) —</t>
        </is>
      </c>
      <c r="C52" s="113" t="n"/>
      <c r="D52" s="113" t="n"/>
      <c r="E52" s="113" t="n"/>
      <c r="F52" s="113" t="n"/>
      <c r="G52" s="113" t="n"/>
      <c r="H52" s="113" t="n"/>
      <c r="I52" s="113" t="n"/>
      <c r="J52" s="113" t="n"/>
    </row>
    <row r="53" ht="15" customHeight="1" s="67">
      <c r="B53" s="73" t="inlineStr">
        <is>
          <t>Fri-01</t>
        </is>
      </c>
      <c r="C53" s="94" t="n">
        <v>5</v>
      </c>
      <c r="D53" s="81" t="inlineStr">
        <is>
          <t>Sun Drips</t>
        </is>
      </c>
      <c r="E53" s="94" t="n">
        <v>14</v>
      </c>
      <c r="F53" s="103">
        <f>E53*Assumptions!$C$30*Assumptions!$C$31^(C53-1)*(1-$H$5)</f>
        <v/>
      </c>
      <c r="G53" s="104">
        <f>MAX(Assumptions!$C$29*Assumptions!$C$33^(C53-1)-$D$5,1)</f>
        <v/>
      </c>
      <c r="H53" s="104">
        <f>E53*0.4</f>
        <v/>
      </c>
      <c r="I53" s="104">
        <f>H53*Assumptions!$C$32^(C53-1)</f>
        <v/>
      </c>
      <c r="J53" s="103">
        <f>N(J52)+F53</f>
        <v/>
      </c>
    </row>
    <row r="54" ht="15" customHeight="1" s="67">
      <c r="B54" s="77" t="inlineStr">
        <is>
          <t>Fri-02</t>
        </is>
      </c>
      <c r="C54" s="114" t="n">
        <v>5</v>
      </c>
      <c r="D54" s="83" t="inlineStr">
        <is>
          <t>Pepper Melange</t>
        </is>
      </c>
      <c r="E54" s="114" t="n">
        <v>15</v>
      </c>
      <c r="F54" s="100">
        <f>E54*Assumptions!$C$30*Assumptions!$C$31^(C54-1)*(1-$H$5)</f>
        <v/>
      </c>
      <c r="G54" s="101">
        <f>MAX(Assumptions!$C$29*Assumptions!$C$33^(C54-1)-$D$5,1)</f>
        <v/>
      </c>
      <c r="H54" s="101">
        <f>E54*0.4</f>
        <v/>
      </c>
      <c r="I54" s="101">
        <f>H54*Assumptions!$C$32^(C54-1)</f>
        <v/>
      </c>
      <c r="J54" s="100">
        <f>N(J53)+F54</f>
        <v/>
      </c>
    </row>
    <row r="55" ht="15" customHeight="1" s="67">
      <c r="B55" s="73" t="inlineStr">
        <is>
          <t>Fri-03</t>
        </is>
      </c>
      <c r="C55" s="94" t="n">
        <v>5</v>
      </c>
      <c r="D55" s="81" t="inlineStr">
        <is>
          <t>Sun Drips</t>
        </is>
      </c>
      <c r="E55" s="94" t="n">
        <v>17</v>
      </c>
      <c r="F55" s="103">
        <f>E55*Assumptions!$C$30*Assumptions!$C$31^(C55-1)*(1-$H$5)</f>
        <v/>
      </c>
      <c r="G55" s="104">
        <f>MAX(Assumptions!$C$29*Assumptions!$C$33^(C55-1)-$D$5,1)</f>
        <v/>
      </c>
      <c r="H55" s="104">
        <f>E55*0.4</f>
        <v/>
      </c>
      <c r="I55" s="104">
        <f>H55*Assumptions!$C$32^(C55-1)</f>
        <v/>
      </c>
      <c r="J55" s="103">
        <f>N(J54)+F55</f>
        <v/>
      </c>
    </row>
    <row r="56" ht="15" customHeight="1" s="67">
      <c r="B56" s="77" t="inlineStr">
        <is>
          <t>Fri-04</t>
        </is>
      </c>
      <c r="C56" s="114" t="n">
        <v>5</v>
      </c>
      <c r="D56" s="83" t="inlineStr">
        <is>
          <t>Pepper Melange</t>
        </is>
      </c>
      <c r="E56" s="114" t="n">
        <v>18</v>
      </c>
      <c r="F56" s="100">
        <f>E56*Assumptions!$C$30*Assumptions!$C$31^(C56-1)*(1-$H$5)</f>
        <v/>
      </c>
      <c r="G56" s="101">
        <f>MAX(Assumptions!$C$29*Assumptions!$C$33^(C56-1)-$D$5,1)</f>
        <v/>
      </c>
      <c r="H56" s="101">
        <f>E56*0.4</f>
        <v/>
      </c>
      <c r="I56" s="101">
        <f>H56*Assumptions!$C$32^(C56-1)</f>
        <v/>
      </c>
      <c r="J56" s="100">
        <f>N(J55)+F56</f>
        <v/>
      </c>
    </row>
    <row r="57" ht="15" customHeight="1" s="67">
      <c r="B57" s="73" t="inlineStr">
        <is>
          <t>Fri-05</t>
        </is>
      </c>
      <c r="C57" s="94" t="n">
        <v>5</v>
      </c>
      <c r="D57" s="81" t="inlineStr">
        <is>
          <t>Sun Drips</t>
        </is>
      </c>
      <c r="E57" s="94" t="n">
        <v>20</v>
      </c>
      <c r="F57" s="103">
        <f>E57*Assumptions!$C$30*Assumptions!$C$31^(C57-1)*(1-$H$5)</f>
        <v/>
      </c>
      <c r="G57" s="104">
        <f>MAX(Assumptions!$C$29*Assumptions!$C$33^(C57-1)-$D$5,1)</f>
        <v/>
      </c>
      <c r="H57" s="104">
        <f>E57*0.4</f>
        <v/>
      </c>
      <c r="I57" s="104">
        <f>H57*Assumptions!$C$32^(C57-1)</f>
        <v/>
      </c>
      <c r="J57" s="103">
        <f>N(J56)+F57</f>
        <v/>
      </c>
    </row>
    <row r="58" ht="15" customHeight="1" s="67">
      <c r="B58" s="77" t="inlineStr">
        <is>
          <t>Fri-06</t>
        </is>
      </c>
      <c r="C58" s="114" t="n">
        <v>5</v>
      </c>
      <c r="D58" s="83" t="inlineStr">
        <is>
          <t>Pepper Melange</t>
        </is>
      </c>
      <c r="E58" s="114" t="n">
        <v>22</v>
      </c>
      <c r="F58" s="100">
        <f>E58*Assumptions!$C$30*Assumptions!$C$31^(C58-1)*(1-$H$5)</f>
        <v/>
      </c>
      <c r="G58" s="101">
        <f>MAX(Assumptions!$C$29*Assumptions!$C$33^(C58-1)-$D$5,1)</f>
        <v/>
      </c>
      <c r="H58" s="101">
        <f>E58*0.4</f>
        <v/>
      </c>
      <c r="I58" s="101">
        <f>H58*Assumptions!$C$32^(C58-1)</f>
        <v/>
      </c>
      <c r="J58" s="100">
        <f>N(J57)+F58</f>
        <v/>
      </c>
    </row>
    <row r="59" ht="15" customHeight="1" s="67">
      <c r="B59" s="73" t="inlineStr">
        <is>
          <t>Fri-07</t>
        </is>
      </c>
      <c r="C59" s="94" t="n">
        <v>5</v>
      </c>
      <c r="D59" s="81" t="inlineStr">
        <is>
          <t>Sun Drips</t>
        </is>
      </c>
      <c r="E59" s="94" t="n">
        <v>25</v>
      </c>
      <c r="F59" s="103">
        <f>E59*Assumptions!$C$30*Assumptions!$C$31^(C59-1)*(1-$H$5)</f>
        <v/>
      </c>
      <c r="G59" s="104">
        <f>MAX(Assumptions!$C$29*Assumptions!$C$33^(C59-1)-$D$5,1)</f>
        <v/>
      </c>
      <c r="H59" s="104">
        <f>E59*0.4</f>
        <v/>
      </c>
      <c r="I59" s="104">
        <f>H59*Assumptions!$C$32^(C59-1)</f>
        <v/>
      </c>
      <c r="J59" s="103">
        <f>N(J58)+F59</f>
        <v/>
      </c>
    </row>
    <row r="60" ht="15" customHeight="1" s="67">
      <c r="B60" s="77" t="inlineStr">
        <is>
          <t>Fri-08</t>
        </is>
      </c>
      <c r="C60" s="114" t="n">
        <v>5</v>
      </c>
      <c r="D60" s="83" t="inlineStr">
        <is>
          <t>Pepper Melange</t>
        </is>
      </c>
      <c r="E60" s="114" t="n">
        <v>28</v>
      </c>
      <c r="F60" s="100">
        <f>E60*Assumptions!$C$30*Assumptions!$C$31^(C60-1)*(1-$H$5)</f>
        <v/>
      </c>
      <c r="G60" s="101">
        <f>MAX(Assumptions!$C$29*Assumptions!$C$33^(C60-1)-$D$5,1)</f>
        <v/>
      </c>
      <c r="H60" s="101">
        <f>E60*0.4</f>
        <v/>
      </c>
      <c r="I60" s="101">
        <f>H60*Assumptions!$C$32^(C60-1)</f>
        <v/>
      </c>
      <c r="J60" s="100">
        <f>N(J59)+F60</f>
        <v/>
      </c>
    </row>
    <row r="61" ht="15" customHeight="1" s="67">
      <c r="B61" s="73" t="inlineStr">
        <is>
          <t>Fri-09</t>
        </is>
      </c>
      <c r="C61" s="94" t="n">
        <v>5</v>
      </c>
      <c r="D61" s="81" t="inlineStr">
        <is>
          <t>Sun Drips</t>
        </is>
      </c>
      <c r="E61" s="94" t="n">
        <v>32</v>
      </c>
      <c r="F61" s="103">
        <f>E61*Assumptions!$C$30*Assumptions!$C$31^(C61-1)*(1-$H$5)</f>
        <v/>
      </c>
      <c r="G61" s="104">
        <f>MAX(Assumptions!$C$29*Assumptions!$C$33^(C61-1)-$D$5,1)</f>
        <v/>
      </c>
      <c r="H61" s="104">
        <f>E61*0.4</f>
        <v/>
      </c>
      <c r="I61" s="104">
        <f>H61*Assumptions!$C$32^(C61-1)</f>
        <v/>
      </c>
      <c r="J61" s="103">
        <f>N(J60)+F61</f>
        <v/>
      </c>
    </row>
    <row r="62" ht="15" customHeight="1" s="67">
      <c r="B62" s="77" t="inlineStr">
        <is>
          <t>Fri-10</t>
        </is>
      </c>
      <c r="C62" s="114" t="n">
        <v>5</v>
      </c>
      <c r="D62" s="83" t="inlineStr">
        <is>
          <t>Pepper Melange</t>
        </is>
      </c>
      <c r="E62" s="114" t="n">
        <v>40</v>
      </c>
      <c r="F62" s="100">
        <f>E62*Assumptions!$C$30*Assumptions!$C$31^(C62-1)*(1-$H$5)</f>
        <v/>
      </c>
      <c r="G62" s="101">
        <f>MAX(Assumptions!$C$29*Assumptions!$C$33^(C62-1)-$D$5,1)</f>
        <v/>
      </c>
      <c r="H62" s="101">
        <f>E62*0.4</f>
        <v/>
      </c>
      <c r="I62" s="101">
        <f>H62*Assumptions!$C$32^(C62-1)</f>
        <v/>
      </c>
      <c r="J62" s="100">
        <f>N(J61)+F62</f>
        <v/>
      </c>
    </row>
    <row r="64" ht="15" customHeight="1" s="67">
      <c r="B64" s="84" t="inlineStr">
        <is>
          <t>SECTOR SUMMARY</t>
        </is>
      </c>
    </row>
    <row r="65" ht="15" customHeight="1" s="67">
      <c r="B65" s="72" t="inlineStr">
        <is>
          <t>Sector</t>
        </is>
      </c>
      <c r="C65" s="72" t="inlineStr">
        <is>
          <t>Regions</t>
        </is>
      </c>
      <c r="D65" s="72" t="inlineStr">
        <is>
          <t>Total Red Pill</t>
        </is>
      </c>
      <c r="E65" s="72" t="inlineStr">
        <is>
          <t>Total output/s</t>
        </is>
      </c>
      <c r="F65" s="72" t="inlineStr">
        <is>
          <t>Unlock: prev sector %</t>
        </is>
      </c>
    </row>
    <row r="66" ht="15" customHeight="1" s="67">
      <c r="B66" s="77" t="inlineStr">
        <is>
          <t>Core</t>
        </is>
      </c>
      <c r="C66" s="99" t="n">
        <v>10</v>
      </c>
      <c r="D66" s="100">
        <f>SUM(F9:F18)</f>
        <v/>
      </c>
      <c r="E66" s="101">
        <f>SUM(I9:I18)</f>
        <v/>
      </c>
      <c r="F66" s="115" t="inlineStr">
        <is>
          <t>UNLOCKED at start</t>
        </is>
      </c>
    </row>
    <row r="67" ht="15" customHeight="1" s="67">
      <c r="B67" s="73" t="inlineStr">
        <is>
          <t>Inner Ring</t>
        </is>
      </c>
      <c r="C67" s="102" t="n">
        <v>10</v>
      </c>
      <c r="D67" s="103">
        <f>SUM(F20:F29)</f>
        <v/>
      </c>
      <c r="E67" s="104">
        <f>SUM(I20:I29)</f>
        <v/>
      </c>
      <c r="F67" s="102">
        <f>Assumptions!$C$33*100&amp;"% of Core"</f>
        <v/>
      </c>
    </row>
    <row r="68" ht="15" customHeight="1" s="67">
      <c r="B68" s="77" t="inlineStr">
        <is>
          <t>Mid Reach</t>
        </is>
      </c>
      <c r="C68" s="99" t="n">
        <v>10</v>
      </c>
      <c r="D68" s="100">
        <f>SUM(F31:F40)</f>
        <v/>
      </c>
      <c r="E68" s="101">
        <f>SUM(I31:I40)</f>
        <v/>
      </c>
      <c r="F68" s="99">
        <f>Assumptions!$C$33*100&amp;"% of Inner Ring"</f>
        <v/>
      </c>
    </row>
    <row r="69" ht="15" customHeight="1" s="67">
      <c r="B69" s="73" t="inlineStr">
        <is>
          <t>Outer Rim</t>
        </is>
      </c>
      <c r="C69" s="102" t="n">
        <v>10</v>
      </c>
      <c r="D69" s="103">
        <f>SUM(F42:F51)</f>
        <v/>
      </c>
      <c r="E69" s="104">
        <f>SUM(I42:I51)</f>
        <v/>
      </c>
      <c r="F69" s="102">
        <f>Assumptions!$C$33*100&amp;"% of Mid Reach"</f>
        <v/>
      </c>
    </row>
    <row r="70" ht="15" customHeight="1" s="67">
      <c r="B70" s="77" t="inlineStr">
        <is>
          <t>Fringe</t>
        </is>
      </c>
      <c r="C70" s="99" t="n">
        <v>10</v>
      </c>
      <c r="D70" s="100">
        <f>SUM(F53:F62)</f>
        <v/>
      </c>
      <c r="E70" s="101">
        <f>SUM(I53:I62)</f>
        <v/>
      </c>
      <c r="F70" s="99">
        <f>Assumptions!$C$33*100&amp;"% of Outer Rim"</f>
        <v/>
      </c>
    </row>
    <row r="73" ht="15" customHeight="1" s="67">
      <c r="B73" s="84" t="inlineStr">
        <is>
          <t>RESOURCE FEEDBACK INTO CC (why war matters)</t>
        </is>
      </c>
    </row>
    <row r="74" ht="15" customHeight="1" s="67">
      <c r="B74" s="69" t="inlineStr">
        <is>
          <t>This is the loop: conquer -&gt; gather Sun Drips / Melange -&gt; feed CC -&gt; afford more war. War is no longer a dead end.</t>
        </is>
      </c>
    </row>
    <row r="75" ht="15" customHeight="1" s="67">
      <c r="B75" s="72" t="inlineStr">
        <is>
          <t>Resource</t>
        </is>
      </c>
      <c r="C75" s="72" t="inlineStr">
        <is>
          <t>Total/s (if full sector held)</t>
        </is>
      </c>
      <c r="D75" s="72" t="inlineStr">
        <is>
          <t>Feeds</t>
        </is>
      </c>
      <c r="E75" s="72" t="inlineStr">
        <is>
          <t>Effect on CC</t>
        </is>
      </c>
    </row>
    <row r="76" ht="15" customHeight="1" s="67">
      <c r="B76" s="73" t="inlineStr">
        <is>
          <t>Sun Drips</t>
        </is>
      </c>
      <c r="C76" s="104">
        <f>SUMIF(D8:D62,"Sun Drips",I8:I62)</f>
        <v/>
      </c>
      <c r="D76" s="81" t="inlineStr">
        <is>
          <t>Global CC multiplier</t>
        </is>
      </c>
      <c r="E76" s="116">
        <f>C76*Assumptions!$C$35</f>
        <v/>
      </c>
    </row>
    <row r="77" ht="15" customHeight="1" s="67">
      <c r="B77" s="73" t="inlineStr">
        <is>
          <t>Pepper Melange</t>
        </is>
      </c>
      <c r="C77" s="104">
        <f>SUMIF(D8:D62,"Pepper Melange",I8:I62)</f>
        <v/>
      </c>
      <c r="D77" s="81" t="inlineStr">
        <is>
          <t>CC compound conversion</t>
        </is>
      </c>
      <c r="E77" s="116">
        <f>C77*Assumptions!$C$36</f>
        <v/>
      </c>
    </row>
    <row r="79" ht="15" customHeight="1" s="67">
      <c r="B79" s="84" t="inlineStr">
        <is>
          <t>TUNING NOTES</t>
        </is>
      </c>
    </row>
    <row r="80" ht="15" customHeight="1" s="67">
      <c r="B80" s="117" t="inlineStr">
        <is>
          <t>• First conquest (Cor-01) should be affordable in the first play hours. Check its Red Pill cost vs early CC income.</t>
        </is>
      </c>
    </row>
    <row r="81" ht="15" customHeight="1" s="67">
      <c r="B81" s="117" t="inlineStr">
        <is>
          <t>• Full galaxy = 50 regions, cost scales x4 per tier -&gt; Fringe regions cost thousands of Red Pill. Weeks, not 2 days.</t>
        </is>
      </c>
    </row>
    <row r="82" ht="15" customHeight="1" s="67">
      <c r="B82" s="117" t="inlineStr">
        <is>
          <t>• To make a sector harder later: bump its Tier column, or raise Tier cost/output/timer scales in Assumptions.</t>
        </is>
      </c>
    </row>
    <row r="83" ht="15" customHeight="1" s="67">
      <c r="B83" s="117" t="inlineStr">
        <is>
          <t>• Sector unlock % gates progression: can't rush Fringe without holding most of Outer Rim first.</t>
        </is>
      </c>
    </row>
    <row r="84" ht="15" customHeight="1" s="67">
      <c r="B84" s="117" t="inlineStr">
        <is>
          <t>• Sun Drips and Melange now feed CC, so conquest directly accelerates the core loop (no dead-end resources).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8" customWidth="1" style="66" min="2" max="2"/>
    <col width="14" customWidth="1" style="66" min="3" max="3"/>
    <col width="16" customWidth="1" style="66" min="4" max="5"/>
    <col width="18" customWidth="1" style="66" min="6" max="6"/>
    <col width="20" customWidth="1" style="66" min="7" max="7"/>
    <col width="24" customWidth="1" style="66" min="8" max="8"/>
  </cols>
  <sheetData>
    <row r="1" ht="17.25" customHeight="1" s="67">
      <c r="B1" s="111" t="inlineStr">
        <is>
          <t>FLEET &amp; TRANSIT VISAS</t>
        </is>
      </c>
    </row>
    <row r="2" ht="15" customHeight="1" s="67">
      <c r="B2" s="69" t="inlineStr">
        <is>
          <t>Conquest needs an ARMY (Mech-Bros, Red Pill) AND LIFT (a ship with capacity, bought with Transit Visas).</t>
        </is>
      </c>
    </row>
    <row r="3" ht="15" customHeight="1" s="67">
      <c r="B3" s="69" t="inlineStr">
        <is>
          <t>Transit Visas convert from CC at a steep rate. Ships are discrete goals, not a trickle.</t>
        </is>
      </c>
    </row>
    <row r="5" ht="15" customHeight="1" s="67">
      <c r="B5" s="72" t="inlineStr">
        <is>
          <t>Ship</t>
        </is>
      </c>
      <c r="C5" s="72" t="inlineStr">
        <is>
          <t>Capacity (Mech-Bros)</t>
        </is>
      </c>
      <c r="D5" s="72" t="inlineStr">
        <is>
          <t>Visa cost</t>
        </is>
      </c>
      <c r="E5" s="72" t="inlineStr">
        <is>
          <t>CC cost (=Visa*rate)</t>
        </is>
      </c>
      <c r="F5" s="72" t="inlineStr">
        <is>
          <t>Unlock req</t>
        </is>
      </c>
      <c r="G5" s="72" t="inlineStr">
        <is>
          <t>Range (max tier)</t>
        </is>
      </c>
    </row>
    <row r="6" ht="32.25" customHeight="1" s="67">
      <c r="B6" s="96" t="inlineStr">
        <is>
          <t>Shuttle</t>
        </is>
      </c>
      <c r="C6" s="114" t="n">
        <v>5</v>
      </c>
      <c r="D6" s="108" t="n">
        <v>1000</v>
      </c>
      <c r="E6" s="100" t="n">
        <v>100000</v>
      </c>
      <c r="F6" s="83" t="inlineStr">
        <is>
          <t>available at war unlock</t>
        </is>
      </c>
      <c r="G6" s="97" t="n">
        <v>1</v>
      </c>
    </row>
    <row r="7" ht="21.75" customHeight="1" s="67">
      <c r="B7" s="93" t="inlineStr">
        <is>
          <t>Frigate</t>
        </is>
      </c>
      <c r="C7" s="94" t="n">
        <v>30</v>
      </c>
      <c r="D7" s="105" t="n">
        <v>6000</v>
      </c>
      <c r="E7" s="103" t="n">
        <v>600000</v>
      </c>
      <c r="F7" s="81" t="inlineStr">
        <is>
          <t>own Shuttle</t>
        </is>
      </c>
      <c r="G7" s="95" t="n">
        <v>2</v>
      </c>
    </row>
    <row r="8" ht="21.75" customHeight="1" s="67">
      <c r="B8" s="96" t="inlineStr">
        <is>
          <t>Cruiser</t>
        </is>
      </c>
      <c r="C8" s="114" t="n">
        <v>120</v>
      </c>
      <c r="D8" s="108" t="n">
        <v>30000</v>
      </c>
      <c r="E8" s="100" t="n">
        <v>3000000</v>
      </c>
      <c r="F8" s="83" t="inlineStr">
        <is>
          <t>own Frigate</t>
        </is>
      </c>
      <c r="G8" s="97" t="n">
        <v>3</v>
      </c>
    </row>
    <row r="9" ht="32.25" customHeight="1" s="67">
      <c r="B9" s="93" t="inlineStr">
        <is>
          <t>Dreadnought</t>
        </is>
      </c>
      <c r="C9" s="94" t="n">
        <v>400</v>
      </c>
      <c r="D9" s="105" t="n">
        <v>150000</v>
      </c>
      <c r="E9" s="103" t="n">
        <v>15000000</v>
      </c>
      <c r="F9" s="81" t="inlineStr">
        <is>
          <t>own Cruiser</t>
        </is>
      </c>
      <c r="G9" s="95" t="n">
        <v>4</v>
      </c>
    </row>
    <row r="10">
      <c r="B10" s="66" t="inlineStr">
        <is>
          <t>Leviathan</t>
        </is>
      </c>
      <c r="C10" s="66" t="n">
        <v>1200</v>
      </c>
      <c r="D10" s="66" t="n">
        <v>600000</v>
      </c>
      <c r="E10" s="66" t="n">
        <v>60000000</v>
      </c>
      <c r="G10" s="66" t="n">
        <v>5</v>
      </c>
    </row>
    <row r="11" ht="15" customHeight="1" s="67">
      <c r="B11" s="84" t="inlineStr">
        <is>
          <t>CONQUEST GATE CHECK</t>
        </is>
      </c>
    </row>
    <row r="12" ht="15" customHeight="1" s="67">
      <c r="B12" s="69" t="inlineStr">
        <is>
          <t>A conquest is allowed only if Mech-Bros needed &lt;= fleet capacity AND you can pay Red Pill.</t>
        </is>
      </c>
    </row>
    <row r="13" ht="15" customHeight="1" s="67">
      <c r="B13" s="72" t="inlineStr">
        <is>
          <t>Example region</t>
        </is>
      </c>
      <c r="C13" s="72" t="inlineStr">
        <is>
          <t>Mech-Bros needed</t>
        </is>
      </c>
      <c r="D13" s="72" t="inlineStr">
        <is>
          <t>Ship used</t>
        </is>
      </c>
      <c r="E13" s="72" t="inlineStr">
        <is>
          <t>Capacity</t>
        </is>
      </c>
      <c r="F13" s="72" t="inlineStr">
        <is>
          <t>Lift OK?</t>
        </is>
      </c>
      <c r="G13" s="72" t="inlineStr">
        <is>
          <t>Visa cost of ship</t>
        </is>
      </c>
    </row>
    <row r="14" ht="15" customHeight="1" s="67">
      <c r="B14" s="77" t="inlineStr">
        <is>
          <t>Cor-01 (first)</t>
        </is>
      </c>
      <c r="C14" s="114" t="n">
        <v>3</v>
      </c>
      <c r="D14" s="78" t="inlineStr">
        <is>
          <t>Shuttle</t>
        </is>
      </c>
      <c r="E14" s="99">
        <f>C6</f>
        <v/>
      </c>
      <c r="F14" s="99">
        <f>IF(C14&lt;=E14,"YES","NO - bigger ship")</f>
        <v/>
      </c>
      <c r="G14" s="100">
        <f>D6</f>
        <v/>
      </c>
    </row>
    <row r="15" ht="15" customHeight="1" s="67">
      <c r="B15" s="73" t="inlineStr">
        <is>
          <t>Mid-05</t>
        </is>
      </c>
      <c r="C15" s="94" t="n">
        <v>9</v>
      </c>
      <c r="D15" s="75" t="inlineStr">
        <is>
          <t>Shuttle</t>
        </is>
      </c>
      <c r="E15" s="102">
        <f>C6</f>
        <v/>
      </c>
      <c r="F15" s="102">
        <f>IF(C15&lt;=E15,"YES","NO - bigger ship")</f>
        <v/>
      </c>
      <c r="G15" s="103">
        <f>D6</f>
        <v/>
      </c>
    </row>
    <row r="16" ht="15" customHeight="1" s="67">
      <c r="B16" s="77" t="inlineStr">
        <is>
          <t>Out-09</t>
        </is>
      </c>
      <c r="C16" s="114" t="n">
        <v>18</v>
      </c>
      <c r="D16" s="78" t="inlineStr">
        <is>
          <t>Frigate</t>
        </is>
      </c>
      <c r="E16" s="99">
        <f>C7</f>
        <v/>
      </c>
      <c r="F16" s="99">
        <f>IF(C16&lt;=E16,"YES","NO - bigger ship")</f>
        <v/>
      </c>
      <c r="G16" s="100">
        <f>D7</f>
        <v/>
      </c>
    </row>
    <row r="17" ht="15" customHeight="1" s="67">
      <c r="B17" s="73" t="inlineStr">
        <is>
          <t>Fri-10</t>
        </is>
      </c>
      <c r="C17" s="94" t="n">
        <v>40</v>
      </c>
      <c r="D17" s="75" t="inlineStr">
        <is>
          <t>Cruiser</t>
        </is>
      </c>
      <c r="E17" s="102">
        <f>C8</f>
        <v/>
      </c>
      <c r="F17" s="102">
        <f>IF(C17&lt;=E17,"YES","NO - bigger ship")</f>
        <v/>
      </c>
      <c r="G17" s="103">
        <f>D8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H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22" customWidth="1" style="66" min="2" max="2"/>
    <col width="14" customWidth="1" style="66" min="3" max="6"/>
    <col width="16" customWidth="1" style="66" min="7" max="7"/>
    <col width="28" customWidth="1" style="66" min="8" max="8"/>
  </cols>
  <sheetData>
    <row r="1" ht="17.25" customHeight="1" s="67">
      <c r="B1" s="111" t="inlineStr">
        <is>
          <t>UPGRADE TREE</t>
        </is>
      </c>
    </row>
    <row r="2" ht="15" customHeight="1" s="67">
      <c r="B2" s="69" t="inlineStr">
        <is>
          <t>Three seed branches, one of each archetype: production multiplier, time saver, cost reducer.</t>
        </is>
      </c>
    </row>
    <row r="3" ht="15" customHeight="1" s="67">
      <c r="B3" s="69" t="inlineStr">
        <is>
          <t>Cost grows ~2x/level (tunable). Always something to buy -&gt; idle loop never deadlocks.</t>
        </is>
      </c>
    </row>
    <row r="5" ht="15" customHeight="1" s="67">
      <c r="B5" s="84" t="inlineStr">
        <is>
          <t>PRODUCTION: Crystal Overclock</t>
        </is>
      </c>
      <c r="H5" s="69" t="inlineStr">
        <is>
          <t>+10% global CC per level</t>
        </is>
      </c>
    </row>
    <row r="6" ht="15" customHeight="1" s="67">
      <c r="B6" s="72" t="inlineStr">
        <is>
          <t>Level</t>
        </is>
      </c>
      <c r="C6" s="72" t="inlineStr">
        <is>
          <t>Cost</t>
        </is>
      </c>
      <c r="D6" s="72" t="inlineStr">
        <is>
          <t>Cumulative</t>
        </is>
      </c>
      <c r="E6" s="72" t="inlineStr">
        <is>
          <t>Cumulative effect</t>
        </is>
      </c>
      <c r="F6" s="118" t="inlineStr">
        <is>
          <t>base</t>
        </is>
      </c>
      <c r="G6" s="105" t="n">
        <v>100</v>
      </c>
      <c r="H6" s="66" t="inlineStr">
        <is>
          <t>per-level effect:</t>
        </is>
      </c>
    </row>
    <row r="7" ht="15" customHeight="1" s="67">
      <c r="B7" s="102" t="n">
        <v>1</v>
      </c>
      <c r="C7" s="103">
        <f>$G$6*Assumptions!$C$45^(B7-1)</f>
        <v/>
      </c>
      <c r="D7" s="103">
        <f>C7</f>
        <v/>
      </c>
      <c r="E7" s="119">
        <f>B7*0.1</f>
        <v/>
      </c>
    </row>
    <row r="8" ht="15" customHeight="1" s="67">
      <c r="B8" s="99" t="n">
        <v>2</v>
      </c>
      <c r="C8" s="100">
        <f>$G$6*Assumptions!$C$45^(B8-1)</f>
        <v/>
      </c>
      <c r="D8" s="100">
        <f>D7+C8</f>
        <v/>
      </c>
      <c r="E8" s="120">
        <f>B8*0.1</f>
        <v/>
      </c>
    </row>
    <row r="9" ht="15" customHeight="1" s="67">
      <c r="B9" s="102" t="n">
        <v>3</v>
      </c>
      <c r="C9" s="103">
        <f>$G$6*Assumptions!$C$45^(B9-1)</f>
        <v/>
      </c>
      <c r="D9" s="103">
        <f>D8+C9</f>
        <v/>
      </c>
      <c r="E9" s="119">
        <f>B9*0.1</f>
        <v/>
      </c>
    </row>
    <row r="10" ht="15" customHeight="1" s="67">
      <c r="B10" s="99" t="n">
        <v>4</v>
      </c>
      <c r="C10" s="100">
        <f>$G$6*Assumptions!$C$45^(B10-1)</f>
        <v/>
      </c>
      <c r="D10" s="100">
        <f>D9+C10</f>
        <v/>
      </c>
      <c r="E10" s="120">
        <f>B10*0.1</f>
        <v/>
      </c>
    </row>
    <row r="11" ht="15" customHeight="1" s="67">
      <c r="B11" s="102" t="n">
        <v>5</v>
      </c>
      <c r="C11" s="103">
        <f>$G$6*Assumptions!$C$45^(B11-1)</f>
        <v/>
      </c>
      <c r="D11" s="103">
        <f>D10+C11</f>
        <v/>
      </c>
      <c r="E11" s="119">
        <f>B11*0.1</f>
        <v/>
      </c>
    </row>
    <row r="12" ht="15" customHeight="1" s="67">
      <c r="B12" s="99" t="n">
        <v>6</v>
      </c>
      <c r="C12" s="100">
        <f>$G$6*Assumptions!$C$45^(B12-1)</f>
        <v/>
      </c>
      <c r="D12" s="100">
        <f>D11+C12</f>
        <v/>
      </c>
      <c r="E12" s="120">
        <f>B12*0.1</f>
        <v/>
      </c>
    </row>
    <row r="13" ht="15" customHeight="1" s="67">
      <c r="B13" s="102" t="n">
        <v>7</v>
      </c>
      <c r="C13" s="103">
        <f>$G$6*Assumptions!$C$45^(B13-1)</f>
        <v/>
      </c>
      <c r="D13" s="103">
        <f>D12+C13</f>
        <v/>
      </c>
      <c r="E13" s="119">
        <f>B13*0.1</f>
        <v/>
      </c>
    </row>
    <row r="14" ht="15" customHeight="1" s="67">
      <c r="B14" s="99" t="n">
        <v>8</v>
      </c>
      <c r="C14" s="100">
        <f>$G$6*Assumptions!$C$45^(B14-1)</f>
        <v/>
      </c>
      <c r="D14" s="100">
        <f>D13+C14</f>
        <v/>
      </c>
      <c r="E14" s="120">
        <f>B14*0.1</f>
        <v/>
      </c>
    </row>
    <row r="16" ht="15" customHeight="1" s="67">
      <c r="B16" s="84" t="inlineStr">
        <is>
          <t>TIME: Expedited Warfare</t>
        </is>
      </c>
      <c r="H16" s="69" t="inlineStr">
        <is>
          <t>-5% war timer per level</t>
        </is>
      </c>
    </row>
    <row r="17" ht="15" customHeight="1" s="67">
      <c r="B17" s="72" t="inlineStr">
        <is>
          <t>Level</t>
        </is>
      </c>
      <c r="C17" s="72" t="inlineStr">
        <is>
          <t>Cost</t>
        </is>
      </c>
      <c r="D17" s="72" t="inlineStr">
        <is>
          <t>Cumulative</t>
        </is>
      </c>
      <c r="E17" s="72" t="inlineStr">
        <is>
          <t>Cumulative effect</t>
        </is>
      </c>
      <c r="F17" s="118" t="inlineStr">
        <is>
          <t>base</t>
        </is>
      </c>
      <c r="G17" s="105" t="n">
        <v>250</v>
      </c>
      <c r="H17" s="66" t="inlineStr">
        <is>
          <t>per-level effect:</t>
        </is>
      </c>
    </row>
    <row r="18" ht="15" customHeight="1" s="67">
      <c r="B18" s="99" t="n">
        <v>1</v>
      </c>
      <c r="C18" s="100">
        <f>$G$17*Assumptions!$C$45^(B18-1)</f>
        <v/>
      </c>
      <c r="D18" s="100">
        <f>C18</f>
        <v/>
      </c>
      <c r="E18" s="120">
        <f>B18*0.05</f>
        <v/>
      </c>
    </row>
    <row r="19" ht="15" customHeight="1" s="67">
      <c r="B19" s="102" t="n">
        <v>2</v>
      </c>
      <c r="C19" s="103">
        <f>$G$17*Assumptions!$C$45^(B19-1)</f>
        <v/>
      </c>
      <c r="D19" s="103">
        <f>D18+C19</f>
        <v/>
      </c>
      <c r="E19" s="119">
        <f>B19*0.05</f>
        <v/>
      </c>
    </row>
    <row r="20" ht="15" customHeight="1" s="67">
      <c r="B20" s="99" t="n">
        <v>3</v>
      </c>
      <c r="C20" s="100">
        <f>$G$17*Assumptions!$C$45^(B20-1)</f>
        <v/>
      </c>
      <c r="D20" s="100">
        <f>D19+C20</f>
        <v/>
      </c>
      <c r="E20" s="120">
        <f>B20*0.05</f>
        <v/>
      </c>
    </row>
    <row r="21" ht="15" customHeight="1" s="67">
      <c r="B21" s="102" t="n">
        <v>4</v>
      </c>
      <c r="C21" s="103">
        <f>$G$17*Assumptions!$C$45^(B21-1)</f>
        <v/>
      </c>
      <c r="D21" s="103">
        <f>D20+C21</f>
        <v/>
      </c>
      <c r="E21" s="119">
        <f>B21*0.05</f>
        <v/>
      </c>
    </row>
    <row r="22" ht="15" customHeight="1" s="67">
      <c r="B22" s="99" t="n">
        <v>5</v>
      </c>
      <c r="C22" s="100">
        <f>$G$17*Assumptions!$C$45^(B22-1)</f>
        <v/>
      </c>
      <c r="D22" s="100">
        <f>D21+C22</f>
        <v/>
      </c>
      <c r="E22" s="120">
        <f>B22*0.05</f>
        <v/>
      </c>
    </row>
    <row r="23" ht="15" customHeight="1" s="67">
      <c r="B23" s="102" t="n">
        <v>6</v>
      </c>
      <c r="C23" s="103">
        <f>$G$17*Assumptions!$C$45^(B23-1)</f>
        <v/>
      </c>
      <c r="D23" s="103">
        <f>D22+C23</f>
        <v/>
      </c>
      <c r="E23" s="119">
        <f>B23*0.05</f>
        <v/>
      </c>
    </row>
    <row r="24" ht="15" customHeight="1" s="67">
      <c r="B24" s="99" t="n">
        <v>7</v>
      </c>
      <c r="C24" s="100">
        <f>$G$17*Assumptions!$C$45^(B24-1)</f>
        <v/>
      </c>
      <c r="D24" s="100">
        <f>D23+C24</f>
        <v/>
      </c>
      <c r="E24" s="120">
        <f>B24*0.05</f>
        <v/>
      </c>
    </row>
    <row r="25" ht="15" customHeight="1" s="67">
      <c r="B25" s="102" t="n">
        <v>8</v>
      </c>
      <c r="C25" s="103">
        <f>$G$17*Assumptions!$C$45^(B25-1)</f>
        <v/>
      </c>
      <c r="D25" s="103">
        <f>D24+C25</f>
        <v/>
      </c>
      <c r="E25" s="119">
        <f>B25*0.05</f>
        <v/>
      </c>
    </row>
    <row r="27" ht="15" customHeight="1" s="67">
      <c r="B27" s="84" t="inlineStr">
        <is>
          <t>COST: Bulk Enlistment</t>
        </is>
      </c>
      <c r="H27" s="69" t="inlineStr">
        <is>
          <t>-4% Red Pill/Mech-Bro per level</t>
        </is>
      </c>
    </row>
    <row r="28" ht="15" customHeight="1" s="67">
      <c r="B28" s="72" t="inlineStr">
        <is>
          <t>Level</t>
        </is>
      </c>
      <c r="C28" s="72" t="inlineStr">
        <is>
          <t>Cost</t>
        </is>
      </c>
      <c r="D28" s="72" t="inlineStr">
        <is>
          <t>Cumulative</t>
        </is>
      </c>
      <c r="E28" s="72" t="inlineStr">
        <is>
          <t>Cumulative effect</t>
        </is>
      </c>
      <c r="F28" s="118" t="inlineStr">
        <is>
          <t>base</t>
        </is>
      </c>
      <c r="G28" s="105" t="n">
        <v>200</v>
      </c>
      <c r="H28" s="66" t="inlineStr">
        <is>
          <t>per-level effect:</t>
        </is>
      </c>
    </row>
    <row r="29" ht="15" customHeight="1" s="67">
      <c r="B29" s="102" t="n">
        <v>1</v>
      </c>
      <c r="C29" s="103">
        <f>$G$28*Assumptions!$C$45^(B29-1)</f>
        <v/>
      </c>
      <c r="D29" s="103">
        <f>C29</f>
        <v/>
      </c>
      <c r="E29" s="119">
        <f>B29*0.04</f>
        <v/>
      </c>
    </row>
    <row r="30" ht="15" customHeight="1" s="67">
      <c r="B30" s="99" t="n">
        <v>2</v>
      </c>
      <c r="C30" s="100">
        <f>$G$28*Assumptions!$C$45^(B30-1)</f>
        <v/>
      </c>
      <c r="D30" s="100">
        <f>D29+C30</f>
        <v/>
      </c>
      <c r="E30" s="120">
        <f>B30*0.04</f>
        <v/>
      </c>
    </row>
    <row r="31" ht="15" customHeight="1" s="67">
      <c r="B31" s="102" t="n">
        <v>3</v>
      </c>
      <c r="C31" s="103">
        <f>$G$28*Assumptions!$C$45^(B31-1)</f>
        <v/>
      </c>
      <c r="D31" s="103">
        <f>D30+C31</f>
        <v/>
      </c>
      <c r="E31" s="119">
        <f>B31*0.04</f>
        <v/>
      </c>
    </row>
    <row r="32" ht="15" customHeight="1" s="67">
      <c r="B32" s="99" t="n">
        <v>4</v>
      </c>
      <c r="C32" s="100">
        <f>$G$28*Assumptions!$C$45^(B32-1)</f>
        <v/>
      </c>
      <c r="D32" s="100">
        <f>D31+C32</f>
        <v/>
      </c>
      <c r="E32" s="120">
        <f>B32*0.04</f>
        <v/>
      </c>
    </row>
    <row r="33" ht="15" customHeight="1" s="67">
      <c r="B33" s="102" t="n">
        <v>5</v>
      </c>
      <c r="C33" s="103">
        <f>$G$28*Assumptions!$C$45^(B33-1)</f>
        <v/>
      </c>
      <c r="D33" s="103">
        <f>D32+C33</f>
        <v/>
      </c>
      <c r="E33" s="119">
        <f>B33*0.04</f>
        <v/>
      </c>
    </row>
    <row r="34" ht="15" customHeight="1" s="67">
      <c r="B34" s="99" t="n">
        <v>6</v>
      </c>
      <c r="C34" s="100">
        <f>$G$28*Assumptions!$C$45^(B34-1)</f>
        <v/>
      </c>
      <c r="D34" s="100">
        <f>D33+C34</f>
        <v/>
      </c>
      <c r="E34" s="120">
        <f>B34*0.04</f>
        <v/>
      </c>
    </row>
    <row r="35" ht="15" customHeight="1" s="67">
      <c r="B35" s="102" t="n">
        <v>7</v>
      </c>
      <c r="C35" s="103">
        <f>$G$28*Assumptions!$C$45^(B35-1)</f>
        <v/>
      </c>
      <c r="D35" s="103">
        <f>D34+C35</f>
        <v/>
      </c>
      <c r="E35" s="119">
        <f>B35*0.04</f>
        <v/>
      </c>
    </row>
    <row r="36" ht="15" customHeight="1" s="67">
      <c r="B36" s="99" t="n">
        <v>8</v>
      </c>
      <c r="C36" s="100">
        <f>$G$28*Assumptions!$C$45^(B36-1)</f>
        <v/>
      </c>
      <c r="D36" s="100">
        <f>D35+C36</f>
        <v/>
      </c>
      <c r="E36" s="120">
        <f>B36*0.04</f>
        <v/>
      </c>
    </row>
    <row r="38" ht="15" customHeight="1" s="67">
      <c r="B38" s="69" t="inlineStr">
        <is>
          <t>DESIGN: keep buying any branch -&gt; production climbs -&gt; affords next -&gt; no stall (Pecorella loop).</t>
        </is>
      </c>
    </row>
    <row r="39" ht="15" customHeight="1" s="67">
      <c r="B39" s="69" t="inlineStr">
        <is>
          <t>Later: gate higher tiers behind Abdication Stamps or Dark Matter for prestige-driven depth.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H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6" customWidth="1" style="66" min="2" max="2"/>
    <col width="14" customWidth="1" style="66" min="3" max="3"/>
    <col width="16" customWidth="1" style="66" min="4" max="5"/>
    <col width="18" customWidth="1" style="66" min="6" max="7"/>
    <col width="24" customWidth="1" style="66" min="8" max="8"/>
  </cols>
  <sheetData>
    <row r="1" ht="17.25" customHeight="1" s="67">
      <c r="B1" s="111" t="inlineStr">
        <is>
          <t>SUN DRIPS — LOCAL CONNECTION BUFF</t>
        </is>
      </c>
    </row>
    <row r="2" ht="15" customHeight="1" s="67">
      <c r="B2" s="69" t="inlineStr">
        <is>
          <t>Buff is LOCAL: each system is buffed by ITS OWN connections only. Bounded by construction.</t>
        </is>
      </c>
    </row>
    <row r="3" ht="15" customHeight="1" s="67">
      <c r="B3" s="69" t="inlineStr">
        <is>
          <t>3% per connection (cap 3 links = 9% ceiling). +5% supply-line bonus if linked to another conquered Sun Drips system.</t>
        </is>
      </c>
    </row>
    <row r="5" ht="15" customHeight="1" s="67">
      <c r="B5" s="72" t="inlineStr">
        <is>
          <t>Sun Drips system</t>
        </is>
      </c>
      <c r="C5" s="72" t="inlineStr">
        <is>
          <t>Raw links</t>
        </is>
      </c>
      <c r="D5" s="72" t="inlineStr">
        <is>
          <t>Counted</t>
        </is>
      </c>
      <c r="E5" s="72" t="inlineStr">
        <is>
          <t>Linked to same-type?</t>
        </is>
      </c>
      <c r="F5" s="72" t="inlineStr">
        <is>
          <t>Local buff</t>
        </is>
      </c>
      <c r="G5" s="72" t="inlineStr">
        <is>
          <t>Buffed output/s</t>
        </is>
      </c>
      <c r="H5" s="72" t="inlineStr">
        <is>
          <t>Notes</t>
        </is>
      </c>
    </row>
    <row r="6" ht="15" customHeight="1" s="67">
      <c r="B6" s="77" t="inlineStr">
        <is>
          <t>Cor-01</t>
        </is>
      </c>
      <c r="C6" s="114" t="n">
        <v>2</v>
      </c>
      <c r="D6" s="99">
        <f>MIN(C6,Assumptions!$C$43)</f>
        <v/>
      </c>
      <c r="E6" s="114" t="n">
        <v>1</v>
      </c>
      <c r="F6" s="121">
        <f>D6*Assumptions!$C$42+E6*Assumptions!$C$44</f>
        <v/>
      </c>
      <c r="G6" s="101">
        <f>0.8*(1+F6)</f>
        <v/>
      </c>
      <c r="H6" s="122" t="inlineStr">
        <is>
          <t>cap keeps any single system &lt;=9%+supply</t>
        </is>
      </c>
    </row>
    <row r="7" ht="15" customHeight="1" s="67">
      <c r="B7" s="73" t="inlineStr">
        <is>
          <t>Cor-03</t>
        </is>
      </c>
      <c r="C7" s="94" t="n">
        <v>1</v>
      </c>
      <c r="D7" s="102">
        <f>MIN(C7,Assumptions!$C$43)</f>
        <v/>
      </c>
      <c r="E7" s="94" t="n">
        <v>0</v>
      </c>
      <c r="F7" s="116">
        <f>D7*Assumptions!$C$42+E7*Assumptions!$C$44</f>
        <v/>
      </c>
      <c r="G7" s="104">
        <f>1.2*(1+F7)</f>
        <v/>
      </c>
      <c r="H7" s="123" t="inlineStr">
        <is>
          <t>cap keeps any single system &lt;=9%+supply</t>
        </is>
      </c>
    </row>
    <row r="8" ht="15" customHeight="1" s="67">
      <c r="B8" s="77" t="inlineStr">
        <is>
          <t>Inn-03</t>
        </is>
      </c>
      <c r="C8" s="114" t="n">
        <v>4</v>
      </c>
      <c r="D8" s="99">
        <f>MIN(C8,Assumptions!$C$43)</f>
        <v/>
      </c>
      <c r="E8" s="114" t="n">
        <v>1</v>
      </c>
      <c r="F8" s="121">
        <f>D8*Assumptions!$C$42+E8*Assumptions!$C$44</f>
        <v/>
      </c>
      <c r="G8" s="101">
        <f>4.8*(1+F8)</f>
        <v/>
      </c>
      <c r="H8" s="122" t="inlineStr">
        <is>
          <t>cap keeps any single system &lt;=9%+supply</t>
        </is>
      </c>
    </row>
    <row r="9" ht="15" customHeight="1" s="67">
      <c r="B9" s="73" t="inlineStr">
        <is>
          <t>Mid-01</t>
        </is>
      </c>
      <c r="C9" s="94" t="n">
        <v>3</v>
      </c>
      <c r="D9" s="102">
        <f>MIN(C9,Assumptions!$C$43)</f>
        <v/>
      </c>
      <c r="E9" s="94" t="n">
        <v>1</v>
      </c>
      <c r="F9" s="116">
        <f>D9*Assumptions!$C$42+E9*Assumptions!$C$44</f>
        <v/>
      </c>
      <c r="G9" s="104">
        <f>8.6*(1+F9)</f>
        <v/>
      </c>
      <c r="H9" s="123" t="inlineStr">
        <is>
          <t>cap keeps any single system &lt;=9%+supply</t>
        </is>
      </c>
    </row>
    <row r="10" ht="15" customHeight="1" s="67">
      <c r="B10" s="77" t="inlineStr">
        <is>
          <t>Mid-07</t>
        </is>
      </c>
      <c r="C10" s="114" t="n">
        <v>5</v>
      </c>
      <c r="D10" s="99">
        <f>MIN(C10,Assumptions!$C$43)</f>
        <v/>
      </c>
      <c r="E10" s="114" t="n">
        <v>0</v>
      </c>
      <c r="F10" s="121">
        <f>D10*Assumptions!$C$42+E10*Assumptions!$C$44</f>
        <v/>
      </c>
      <c r="G10" s="101">
        <f>12*(1+F10)</f>
        <v/>
      </c>
      <c r="H10" s="122" t="inlineStr">
        <is>
          <t>cap keeps any single system &lt;=9%+supply</t>
        </is>
      </c>
    </row>
    <row r="11" ht="15" customHeight="1" s="67">
      <c r="B11" s="73" t="inlineStr">
        <is>
          <t>Out-05</t>
        </is>
      </c>
      <c r="C11" s="94" t="n">
        <v>6</v>
      </c>
      <c r="D11" s="102">
        <f>MIN(C11,Assumptions!$C$43)</f>
        <v/>
      </c>
      <c r="E11" s="94" t="n">
        <v>1</v>
      </c>
      <c r="F11" s="116">
        <f>D11*Assumptions!$C$42+E11*Assumptions!$C$44</f>
        <v/>
      </c>
      <c r="G11" s="104">
        <f>38.9*(1+F11)</f>
        <v/>
      </c>
      <c r="H11" s="123" t="inlineStr">
        <is>
          <t>cap keeps any single system &lt;=9%+supply</t>
        </is>
      </c>
    </row>
    <row r="12" ht="15" customHeight="1" s="67">
      <c r="B12" s="77" t="inlineStr">
        <is>
          <t>Fri-09</t>
        </is>
      </c>
      <c r="C12" s="114" t="n">
        <v>8</v>
      </c>
      <c r="D12" s="99">
        <f>MIN(C12,Assumptions!$C$43)</f>
        <v/>
      </c>
      <c r="E12" s="114" t="n">
        <v>1</v>
      </c>
      <c r="F12" s="121">
        <f>D12*Assumptions!$C$42+E12*Assumptions!$C$44</f>
        <v/>
      </c>
      <c r="G12" s="101">
        <f>181.4*(1+F12)</f>
        <v/>
      </c>
      <c r="H12" s="122" t="inlineStr">
        <is>
          <t>cap keeps any single system &lt;=9%+supply</t>
        </is>
      </c>
    </row>
    <row r="14" ht="15" customHeight="1" s="67">
      <c r="B14" s="84" t="inlineStr">
        <is>
          <t>Galaxy Sun Drips output (sum of buffed systems):</t>
        </is>
      </c>
      <c r="G14" s="104">
        <f>SUM(G6:G12)</f>
        <v/>
      </c>
    </row>
    <row r="15" ht="15" customHeight="1" s="67">
      <c r="B15" s="69" t="inlineStr">
        <is>
          <t>No global multiplier, no runaway: total is just the sum of locally-buffed systems.</t>
        </is>
      </c>
    </row>
    <row r="16" ht="15" customHeight="1" s="67">
      <c r="B16" s="69" t="inlineStr">
        <is>
          <t>Max possible per system = (3 links x 3%) + 5% supply = 14%. That's the hard ceiling.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0" customWidth="1" style="66" min="2" max="2"/>
    <col width="14" customWidth="1" style="66" min="3" max="3"/>
    <col width="22" customWidth="1" style="66" min="4" max="4"/>
    <col width="18" customWidth="1" style="66" min="5" max="6"/>
    <col width="22" customWidth="1" style="66" min="7" max="7"/>
    <col width="30" customWidth="1" style="66" min="8" max="8"/>
  </cols>
  <sheetData>
    <row r="1" ht="17.25" customHeight="1" s="67">
      <c r="B1" s="111" t="inlineStr">
        <is>
          <t>TIERED RESOURCE LADDER</t>
        </is>
      </c>
    </row>
    <row r="2" ht="15" customHeight="1" s="67">
      <c r="B2" s="69" t="inlineStr">
        <is>
          <t>Each conquered tier hands a NEW resource with a faster base rate. Not gifted -&gt; a steeper fresh curve.</t>
        </is>
      </c>
    </row>
    <row r="3" ht="15" customHeight="1" s="67">
      <c r="B3" s="69" t="inlineStr">
        <is>
          <t>As one tier's contribution flattens, the next conquest unlocks the next curve. Momentum never dies.</t>
        </is>
      </c>
    </row>
    <row r="5" ht="15" customHeight="1" s="67">
      <c r="B5" s="72" t="inlineStr">
        <is>
          <t>Tier</t>
        </is>
      </c>
      <c r="C5" s="72" t="inlineStr">
        <is>
          <t>Sector</t>
        </is>
      </c>
      <c r="D5" s="72" t="inlineStr">
        <is>
          <t>Resource (TBN)</t>
        </is>
      </c>
      <c r="E5" s="72" t="inlineStr">
        <is>
          <t>Base rate/s</t>
        </is>
      </c>
      <c r="F5" s="72" t="inlineStr">
        <is>
          <t>Rate vs Tier 1</t>
        </is>
      </c>
      <c r="G5" s="72" t="inlineStr">
        <is>
          <t>Feeds</t>
        </is>
      </c>
      <c r="H5" s="72" t="inlineStr">
        <is>
          <t>Design role</t>
        </is>
      </c>
    </row>
    <row r="6" ht="21.75" customHeight="1" s="67">
      <c r="B6" s="99" t="n">
        <v>1</v>
      </c>
      <c r="C6" s="78" t="inlineStr">
        <is>
          <t>Core</t>
        </is>
      </c>
      <c r="D6" s="96" t="inlineStr">
        <is>
          <t>Sun Drips / Melange</t>
        </is>
      </c>
      <c r="E6" s="124" t="n">
        <v>0.8</v>
      </c>
      <c r="F6" s="125">
        <f>E6/$E$6</f>
        <v/>
      </c>
      <c r="G6" s="79" t="inlineStr">
        <is>
          <t>Drips-&gt;local CC buff; Melange-&gt;compound CC</t>
        </is>
      </c>
      <c r="H6" s="97" t="inlineStr">
        <is>
          <t>entry economy; teaches the loop</t>
        </is>
      </c>
    </row>
    <row r="7" ht="21.75" customHeight="1" s="67">
      <c r="B7" s="102" t="n">
        <v>2</v>
      </c>
      <c r="C7" s="75" t="inlineStr">
        <is>
          <t>Inner</t>
        </is>
      </c>
      <c r="D7" s="93" t="inlineStr">
        <is>
          <t>Resource B</t>
        </is>
      </c>
      <c r="E7" s="104">
        <f>$E$6*Assumptions!$C$49^(B7-1)</f>
        <v/>
      </c>
      <c r="F7" s="126">
        <f>E7/$E$6</f>
        <v/>
      </c>
      <c r="G7" s="76" t="inlineStr">
        <is>
          <t>fleet upgrades (cheaper Visas / capacity)</t>
        </is>
      </c>
      <c r="H7" s="95" t="inlineStr">
        <is>
          <t>makes the NEXT conquest cheaper -&gt; snowball</t>
        </is>
      </c>
    </row>
    <row r="8" ht="15" customHeight="1" s="67">
      <c r="B8" s="99" t="n">
        <v>3</v>
      </c>
      <c r="C8" s="78" t="inlineStr">
        <is>
          <t>Mid</t>
        </is>
      </c>
      <c r="D8" s="96" t="inlineStr">
        <is>
          <t>Resource C</t>
        </is>
      </c>
      <c r="E8" s="101">
        <f>$E$6*Assumptions!$C$49^(B8-1)</f>
        <v/>
      </c>
      <c r="F8" s="125">
        <f>E8/$E$6</f>
        <v/>
      </c>
      <c r="G8" s="79" t="inlineStr">
        <is>
          <t>upgrade tree higher tiers</t>
        </is>
      </c>
      <c r="H8" s="97" t="inlineStr">
        <is>
          <t>deepens build variety mid-game</t>
        </is>
      </c>
    </row>
    <row r="9" ht="15" customHeight="1" s="67">
      <c r="B9" s="102" t="n">
        <v>4</v>
      </c>
      <c r="C9" s="75" t="inlineStr">
        <is>
          <t>Outer</t>
        </is>
      </c>
      <c r="D9" s="93" t="inlineStr">
        <is>
          <t>Resource D</t>
        </is>
      </c>
      <c r="E9" s="104">
        <f>$E$6*Assumptions!$C$49^(B9-1)</f>
        <v/>
      </c>
      <c r="F9" s="126">
        <f>E9/$E$6</f>
        <v/>
      </c>
      <c r="G9" s="76" t="inlineStr">
        <is>
          <t>Dark Matter generation</t>
        </is>
      </c>
      <c r="H9" s="95" t="inlineStr">
        <is>
          <t>bridges into prestige economy</t>
        </is>
      </c>
    </row>
    <row r="10" ht="21.75" customHeight="1" s="67">
      <c r="B10" s="99" t="n">
        <v>5</v>
      </c>
      <c r="C10" s="78" t="inlineStr">
        <is>
          <t>Fringe</t>
        </is>
      </c>
      <c r="D10" s="96" t="inlineStr">
        <is>
          <t>Dark Matter</t>
        </is>
      </c>
      <c r="E10" s="101">
        <f>$E$6*Assumptions!$C$49^(B10-1)</f>
        <v/>
      </c>
      <c r="F10" s="125">
        <f>E10/$E$6</f>
        <v/>
      </c>
      <c r="G10" s="79" t="inlineStr">
        <is>
          <t>prestige-tier multipliers / endgame</t>
        </is>
      </c>
      <c r="H10" s="97" t="inlineStr">
        <is>
          <t>apex sink; gives DM its job</t>
        </is>
      </c>
    </row>
    <row r="12" ht="15" customHeight="1" s="67">
      <c r="B12" s="84" t="inlineStr">
        <is>
          <t>DARK MATTER (Fringe resource -&gt; prestige fuel)</t>
        </is>
      </c>
    </row>
    <row r="13" ht="15" customHeight="1" s="67">
      <c r="B13" s="72" t="inlineStr">
        <is>
          <t>Fringe output/s</t>
        </is>
      </c>
      <c r="C13" s="72" t="inlineStr">
        <is>
          <t>DM yield rate</t>
        </is>
      </c>
      <c r="D13" s="72" t="inlineStr">
        <is>
          <t>Dark Matter/s</t>
        </is>
      </c>
      <c r="E13" s="72" t="inlineStr">
        <is>
          <t>Role</t>
        </is>
      </c>
    </row>
    <row r="14" ht="15" customHeight="1" s="67">
      <c r="B14" s="104">
        <f>E10</f>
        <v/>
      </c>
      <c r="C14" s="127">
        <f>Assumptions!$C$51</f>
        <v/>
      </c>
      <c r="D14" s="127">
        <f>B14*C14</f>
        <v/>
      </c>
      <c r="E14" s="123" t="inlineStr">
        <is>
          <t>DM multiplies prestige gains -&gt; makes Abdication runs explosive</t>
        </is>
      </c>
    </row>
    <row r="16" ht="15" customHeight="1" s="67">
      <c r="B16" s="84" t="inlineStr">
        <is>
          <t>DESIGN NOTES</t>
        </is>
      </c>
    </row>
    <row r="17" ht="15" customHeight="1" s="67">
      <c r="B17" s="117" t="inlineStr">
        <is>
          <t>• Rate step 3x/tier: each new resource feels dramatically faster than the last -&gt; reward for the brutal Visa gate.</t>
        </is>
      </c>
    </row>
    <row r="18" ht="15" customHeight="1" s="67">
      <c r="B18" s="117" t="inlineStr">
        <is>
          <t>• Names left blank ('Resource B/C/D') on purpose -&gt; fun naming is a later design choice.</t>
        </is>
      </c>
    </row>
    <row r="19" ht="15" customHeight="1" s="67">
      <c r="B19" s="117" t="inlineStr">
        <is>
          <t>• Dark Matter is now defined: the Fringe (deepest) resource, fueling prestige multipliers. Closes the 'TBD' question.</t>
        </is>
      </c>
    </row>
    <row r="20" ht="15" customHeight="1" s="67">
      <c r="B20" s="117" t="inlineStr">
        <is>
          <t>• Tune 'Resource rate step' &amp; 'Curve flatten point' in Assumptions to set how hard each tier pulls the player onward.</t>
        </is>
      </c>
    </row>
    <row r="21" ht="15" customHeight="1" s="67">
      <c r="B21" s="117" t="inlineStr">
        <is>
          <t>• Pairing: brutal conquest gate (Visas) + rich faster resource behind it = tension that makes war meaningful.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16" customWidth="1" style="66" min="2" max="2"/>
    <col width="14" customWidth="1" style="66" min="3" max="3"/>
    <col width="16" customWidth="1" style="66" min="4" max="5"/>
    <col width="22" customWidth="1" style="66" min="6" max="6"/>
    <col width="14" customWidth="1" style="66" min="7" max="7"/>
    <col width="28" customWidth="1" style="66" min="8" max="8"/>
  </cols>
  <sheetData>
    <row r="1" ht="17.25" customHeight="1" s="67">
      <c r="B1" s="111" t="inlineStr">
        <is>
          <t>SHIP RESEARCH (R&amp;D)</t>
        </is>
      </c>
    </row>
    <row r="2" ht="15" customHeight="1" s="67">
      <c r="B2" s="69" t="inlineStr">
        <is>
          <t>Two gates: RESEARCH a model (CC + timer, top tiers need conquered-tier resources), then BUILD it (Visas).</t>
        </is>
      </c>
    </row>
    <row r="3" ht="15" customHeight="1" s="67">
      <c r="B3" s="69" t="inlineStr">
        <is>
          <t>Shuttle is instant at war-unlock. Each model takes longer to research -&gt; a timer is a return reason.</t>
        </is>
      </c>
    </row>
    <row r="5" ht="15" customHeight="1" s="67">
      <c r="B5" s="72" t="inlineStr">
        <is>
          <t>Model</t>
        </is>
      </c>
      <c r="C5" s="72" t="inlineStr">
        <is>
          <t>Research CC</t>
        </is>
      </c>
      <c r="D5" s="72" t="inlineStr">
        <is>
          <t>Research time</t>
        </is>
      </c>
      <c r="E5" s="72" t="inlineStr">
        <is>
          <t>Resource gate</t>
        </is>
      </c>
      <c r="F5" s="72" t="inlineStr">
        <is>
          <t>Build cost (Visas)</t>
        </is>
      </c>
      <c r="G5" s="72" t="inlineStr">
        <is>
          <t>Capacity</t>
        </is>
      </c>
      <c r="H5" s="72" t="inlineStr">
        <is>
          <t>Notes</t>
        </is>
      </c>
    </row>
    <row r="6" ht="15" customHeight="1" s="67">
      <c r="B6" s="96" t="inlineStr">
        <is>
          <t>Shuttle</t>
        </is>
      </c>
      <c r="C6" s="108" t="n">
        <v>0</v>
      </c>
      <c r="D6" s="128" t="n">
        <v>0</v>
      </c>
      <c r="E6" s="83" t="inlineStr">
        <is>
          <t>none</t>
        </is>
      </c>
      <c r="F6" s="108" t="n">
        <v>1000</v>
      </c>
      <c r="G6" s="114" t="n">
        <v>5</v>
      </c>
      <c r="H6" s="97" t="inlineStr">
        <is>
          <t>instant on war-unlock; the first lift</t>
        </is>
      </c>
    </row>
    <row r="7" ht="15" customHeight="1" s="67">
      <c r="B7" s="93" t="inlineStr">
        <is>
          <t>Frigate</t>
        </is>
      </c>
      <c r="C7" s="105" t="n">
        <v>50000</v>
      </c>
      <c r="D7" s="129" t="n">
        <v>4</v>
      </c>
      <c r="E7" s="81" t="inlineStr">
        <is>
          <t>none</t>
        </is>
      </c>
      <c r="F7" s="105" t="n">
        <v>6000</v>
      </c>
      <c r="G7" s="94" t="n">
        <v>30</v>
      </c>
      <c r="H7" s="95" t="inlineStr">
        <is>
          <t>4h research; first real campaign ship</t>
        </is>
      </c>
    </row>
    <row r="8" ht="21.75" customHeight="1" s="67">
      <c r="B8" s="96" t="inlineStr">
        <is>
          <t>Cruiser</t>
        </is>
      </c>
      <c r="C8" s="108" t="n">
        <v>500000</v>
      </c>
      <c r="D8" s="128" t="n">
        <v>10</v>
      </c>
      <c r="E8" s="83" t="inlineStr">
        <is>
          <t>Tier-2 resource</t>
        </is>
      </c>
      <c r="F8" s="108" t="n">
        <v>30000</v>
      </c>
      <c r="G8" s="114" t="n">
        <v>120</v>
      </c>
      <c r="H8" s="97" t="inlineStr">
        <is>
          <t>10h research; needs Inner-sector resource</t>
        </is>
      </c>
    </row>
    <row r="9" ht="21.75" customHeight="1" s="67">
      <c r="B9" s="93" t="inlineStr">
        <is>
          <t>Dreadnought</t>
        </is>
      </c>
      <c r="C9" s="105" t="n">
        <v>5000000</v>
      </c>
      <c r="D9" s="129" t="n">
        <v>24</v>
      </c>
      <c r="E9" s="81" t="inlineStr">
        <is>
          <t>Tier-3 resource</t>
        </is>
      </c>
      <c r="F9" s="105" t="n">
        <v>150000</v>
      </c>
      <c r="G9" s="94" t="n">
        <v>400</v>
      </c>
      <c r="H9" s="95" t="inlineStr">
        <is>
          <t>~1 day research; needs Mid-sector resource</t>
        </is>
      </c>
    </row>
    <row r="10" ht="21.75" customHeight="1" s="67">
      <c r="B10" s="96" t="inlineStr">
        <is>
          <t>Leviathan</t>
        </is>
      </c>
      <c r="C10" s="108" t="n">
        <v>50000000</v>
      </c>
      <c r="D10" s="128" t="n">
        <v>48</v>
      </c>
      <c r="E10" s="83" t="inlineStr">
        <is>
          <t>Tier-4 resource</t>
        </is>
      </c>
      <c r="F10" s="108" t="n">
        <v>600000</v>
      </c>
      <c r="G10" s="114" t="n">
        <v>1200</v>
      </c>
      <c r="H10" s="97" t="inlineStr">
        <is>
          <t>2 day research; Outer-sector resource gate</t>
        </is>
      </c>
    </row>
    <row r="12" ht="15" customHeight="1" s="67">
      <c r="B12" s="69" t="inlineStr">
        <is>
          <t>Effective research time = listed time x Research speed mult (Assumptions). Vassals can cut this later.</t>
        </is>
      </c>
    </row>
    <row r="13" ht="15" customHeight="1" s="67">
      <c r="B13" s="69" t="inlineStr">
        <is>
          <t>DESIGN: research timers ladder up (0/4/10/24/48h) -&gt; fleet capacity is the conquest gate -&gt; the prestige wall.</t>
        </is>
      </c>
    </row>
    <row r="14" ht="15" customHeight="1" s="67">
      <c r="B14" s="69" t="inlineStr">
        <is>
          <t>Top models gated behind conquered-tier resources -&gt; you must hold deep territory to unlock deeper lift.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22" customWidth="1" style="66" min="2" max="2"/>
    <col width="10" customWidth="1" style="66" min="3" max="3"/>
    <col width="18" customWidth="1" style="66" min="4" max="4"/>
    <col width="14" customWidth="1" style="66" min="5" max="5"/>
    <col width="12" customWidth="1" style="66" min="6" max="6"/>
    <col width="16" customWidth="1" style="66" min="7" max="7"/>
    <col width="30" customWidth="1" style="66" min="8" max="8"/>
  </cols>
  <sheetData>
    <row r="1" ht="17.25" customHeight="1" s="67">
      <c r="B1" s="111" t="inlineStr">
        <is>
          <t>COMPOUND GENERATOR CHAIN</t>
        </is>
      </c>
    </row>
    <row r="2" ht="15" customHeight="1" s="67">
      <c r="B2" s="69" t="inlineStr">
        <is>
          <t>Bureaucratic hierarchy: each tier PRODUCES THE TIER BELOW IT. Only Tier 1 (Formsworth) mints CC.</t>
        </is>
      </c>
    </row>
    <row r="3" ht="15" customHeight="1" s="67">
      <c r="B3" s="69" t="inlineStr">
        <is>
          <t>Production COMPOUNDS over time -&gt; CC/s accelerates even while idle. The sci-fi self-replicating empire.</t>
        </is>
      </c>
    </row>
    <row r="5" ht="15" customHeight="1" s="67">
      <c r="B5" s="72" t="inlineStr">
        <is>
          <t>Generator (vassal)</t>
        </is>
      </c>
      <c r="C5" s="72" t="inlineStr">
        <is>
          <t>Tier</t>
        </is>
      </c>
      <c r="D5" s="72" t="inlineStr">
        <is>
          <t>Produces</t>
        </is>
      </c>
      <c r="E5" s="72" t="inlineStr">
        <is>
          <t>Base rate</t>
        </is>
      </c>
      <c r="F5" s="72" t="inlineStr">
        <is>
          <t>Cost Mult</t>
        </is>
      </c>
      <c r="G5" s="72" t="inlineStr">
        <is>
          <t>Unlock</t>
        </is>
      </c>
      <c r="H5" s="72" t="inlineStr">
        <is>
          <t>Notes</t>
        </is>
      </c>
    </row>
    <row r="6" ht="21.75" customHeight="1" s="67">
      <c r="B6" s="96" t="inlineStr">
        <is>
          <t>Lord Formsworth III</t>
        </is>
      </c>
      <c r="C6" s="99" t="n">
        <v>1</v>
      </c>
      <c r="D6" s="83" t="inlineStr">
        <is>
          <t>Cyber Crystal</t>
        </is>
      </c>
      <c r="E6" s="130" t="n">
        <v>1</v>
      </c>
      <c r="F6" s="108" t="n">
        <v>40</v>
      </c>
      <c r="G6" s="83" t="inlineStr">
        <is>
          <t>start</t>
        </is>
      </c>
      <c r="H6" s="97" t="inlineStr">
        <is>
          <t>Mints CC directly. The only one that touches a crystal.</t>
        </is>
      </c>
    </row>
    <row r="7" ht="21.75" customHeight="1" s="67">
      <c r="B7" s="93" t="inlineStr">
        <is>
          <t>Sub-Clerk Battalion</t>
        </is>
      </c>
      <c r="C7" s="102" t="n">
        <v>2</v>
      </c>
      <c r="D7" s="81" t="inlineStr">
        <is>
          <t>Formsworths</t>
        </is>
      </c>
      <c r="E7" s="131" t="n">
        <v>0.05</v>
      </c>
      <c r="F7" s="105" t="n">
        <v>800</v>
      </c>
      <c r="G7" s="81" t="inlineStr">
        <is>
          <t>CC 5k</t>
        </is>
      </c>
      <c r="H7" s="95" t="inlineStr">
        <is>
          <t>Produces Formsworths. Interns hiring interns.</t>
        </is>
      </c>
    </row>
    <row r="8" ht="21.75" customHeight="1" s="67">
      <c r="B8" s="96" t="inlineStr">
        <is>
          <t>Regional Datastack</t>
        </is>
      </c>
      <c r="C8" s="99" t="n">
        <v>3</v>
      </c>
      <c r="D8" s="83" t="inlineStr">
        <is>
          <t>Sub-Clerks</t>
        </is>
      </c>
      <c r="E8" s="130" t="n">
        <v>0.004</v>
      </c>
      <c r="F8" s="108" t="n">
        <v>60000</v>
      </c>
      <c r="G8" s="83" t="inlineStr">
        <is>
          <t>CC 500k</t>
        </is>
      </c>
      <c r="H8" s="97" t="inlineStr">
        <is>
          <t>Produces Sub-Clerks. Mainframe spawns floors of staff.</t>
        </is>
      </c>
    </row>
    <row r="9" ht="21.75" customHeight="1" s="67">
      <c r="B9" s="93" t="inlineStr">
        <is>
          <t>Orbital Archive</t>
        </is>
      </c>
      <c r="C9" s="102" t="n">
        <v>4</v>
      </c>
      <c r="D9" s="81" t="inlineStr">
        <is>
          <t>Datastacks</t>
        </is>
      </c>
      <c r="E9" s="131" t="n">
        <v>0.00096</v>
      </c>
      <c r="F9" s="105" t="n">
        <v>9000000</v>
      </c>
      <c r="G9" s="81" t="inlineStr">
        <is>
          <t>conquer Inner</t>
        </is>
      </c>
      <c r="H9" s="95" t="inlineStr">
        <is>
          <t>Produces Datastacks. A moon that builds mainframes.</t>
        </is>
      </c>
    </row>
    <row r="10" ht="21.75" customHeight="1" s="67">
      <c r="B10" s="96" t="inlineStr">
        <is>
          <t>Sector Bureaucphere</t>
        </is>
      </c>
      <c r="C10" s="99" t="n">
        <v>5</v>
      </c>
      <c r="D10" s="83" t="inlineStr">
        <is>
          <t>Archives</t>
        </is>
      </c>
      <c r="E10" s="130" t="n">
        <v>0.000768</v>
      </c>
      <c r="F10" s="108" t="n">
        <v>1600000000</v>
      </c>
      <c r="G10" s="83" t="inlineStr">
        <is>
          <t>conquer Mid</t>
        </is>
      </c>
      <c r="H10" s="97" t="inlineStr">
        <is>
          <t>Produces Archives. Planet-sized dept spawning moons.</t>
        </is>
      </c>
    </row>
    <row r="11" ht="21.75" customHeight="1" s="67">
      <c r="B11" s="93" t="inlineStr">
        <is>
          <t>Galactic Census Engine</t>
        </is>
      </c>
      <c r="C11" s="102" t="n">
        <v>6</v>
      </c>
      <c r="D11" s="81" t="inlineStr">
        <is>
          <t>Bureaucspheres</t>
        </is>
      </c>
      <c r="E11" s="131" t="n">
        <v>0.000615</v>
      </c>
      <c r="F11" s="105" t="n">
        <v>320000000000</v>
      </c>
      <c r="G11" s="81" t="inlineStr">
        <is>
          <t>conquer Outer</t>
        </is>
      </c>
      <c r="H11" s="95" t="inlineStr">
        <is>
          <t>Produces Bureaucspheres. Self-replicating administration.</t>
        </is>
      </c>
    </row>
    <row r="12" ht="21.75" customHeight="1" s="67">
      <c r="B12" s="96" t="inlineStr">
        <is>
          <t>The Infinite Ledger</t>
        </is>
      </c>
      <c r="C12" s="99" t="n">
        <v>7</v>
      </c>
      <c r="D12" s="83" t="inlineStr">
        <is>
          <t>Census Engines</t>
        </is>
      </c>
      <c r="E12" s="130" t="n">
        <v>0.000492</v>
      </c>
      <c r="F12" s="108" t="n">
        <v>72000000000000</v>
      </c>
      <c r="G12" s="83" t="inlineStr">
        <is>
          <t>conquer Fringe</t>
        </is>
      </c>
      <c r="H12" s="97" t="inlineStr">
        <is>
          <t>Produces Census Engines. Reality is a spreadsheet.</t>
        </is>
      </c>
    </row>
    <row r="14" ht="15" customHeight="1" s="67">
      <c r="B14" s="84" t="inlineStr">
        <is>
          <t>COST MULTIPLIERS (per generator, its own curve)</t>
        </is>
      </c>
      <c r="C14" s="66" t="n">
        <v>1.25</v>
      </c>
    </row>
    <row r="15" ht="15" customHeight="1" s="67">
      <c r="B15" s="80" t="inlineStr">
        <is>
          <t>Lord Formsworth III</t>
        </is>
      </c>
      <c r="C15" s="94" t="n">
        <v>1.25</v>
      </c>
    </row>
    <row r="16" ht="15" customHeight="1" s="67">
      <c r="B16" s="80" t="inlineStr">
        <is>
          <t>Sub-Clerk Battalion</t>
        </is>
      </c>
      <c r="C16" s="94" t="n">
        <v>1.25</v>
      </c>
    </row>
    <row r="17" ht="15" customHeight="1" s="67">
      <c r="B17" s="80" t="inlineStr">
        <is>
          <t>Regional Datastack</t>
        </is>
      </c>
      <c r="C17" s="94" t="n">
        <v>1.25</v>
      </c>
    </row>
    <row r="18" ht="15" customHeight="1" s="67">
      <c r="B18" s="80" t="inlineStr">
        <is>
          <t>Orbital Archive</t>
        </is>
      </c>
      <c r="C18" s="94" t="n">
        <v>1.25</v>
      </c>
    </row>
    <row r="19" ht="15" customHeight="1" s="67">
      <c r="B19" s="80" t="inlineStr">
        <is>
          <t>Sector Bureaucphere</t>
        </is>
      </c>
      <c r="C19" s="94" t="n">
        <v>1.25</v>
      </c>
    </row>
    <row r="20" ht="15" customHeight="1" s="67">
      <c r="B20" s="80" t="inlineStr">
        <is>
          <t>Galactic Census Engine</t>
        </is>
      </c>
      <c r="C20" s="94" t="n">
        <v>1.25</v>
      </c>
    </row>
    <row r="21" ht="15" customHeight="1" s="67">
      <c r="B21" s="80" t="inlineStr">
        <is>
          <t>The Infinite Ledger</t>
        </is>
      </c>
      <c r="C21" s="94" t="n">
        <v>1.25</v>
      </c>
    </row>
    <row r="23" ht="15" customHeight="1" s="67">
      <c r="B23" s="84" t="inlineStr">
        <is>
          <t>HOW COMPOUND WORKS</t>
        </is>
      </c>
      <c r="C23" s="66" t="n">
        <v>1.25</v>
      </c>
    </row>
    <row r="24" ht="15" customHeight="1" s="67">
      <c r="B24" s="117" t="inlineStr">
        <is>
          <t>• Each tick: Tier N produces (count_N x base_rate_N) units of Tier N-1. Only Tier 1 produces CC.</t>
        </is>
      </c>
      <c r="C24" s="66" t="n">
        <v>1.25</v>
      </c>
    </row>
    <row r="25" ht="15" customHeight="1" s="67">
      <c r="B25" s="117" t="inlineStr">
        <is>
          <t>• Because higher tiers grow the lower tiers, CC/s ACCELERATES over time, not just at unlocks.</t>
        </is>
      </c>
      <c r="C25" s="66" t="n">
        <v>1.25</v>
      </c>
    </row>
    <row r="26" ht="15" customHeight="1" s="67">
      <c r="B26" s="117" t="inlineStr">
        <is>
          <t>• Base rate 0.10 = each unit makes 0.1 of the tier below per second (10s to make one). Tunable.</t>
        </is>
      </c>
      <c r="C26" s="66" t="n">
        <v>1.25</v>
      </c>
    </row>
    <row r="27" ht="15" customHeight="1" s="67">
      <c r="B27" s="117" t="inlineStr">
        <is>
          <t>• 4x effective scaling emerges from the chain + costs; we re-simulate to find the explosive-but-bounded curve.</t>
        </is>
      </c>
      <c r="C27" s="66" t="n">
        <v>1.25</v>
      </c>
    </row>
    <row r="28" ht="15" customHeight="1" s="67">
      <c r="B28" s="117" t="inlineStr">
        <is>
          <t>• Buff vassals (Zyx, Brglx, faction vassals) multiply the WHOLE chain's CC output (Vassals sheet).</t>
        </is>
      </c>
      <c r="C28" s="66" t="n">
        <v>1.25</v>
      </c>
    </row>
    <row r="29" ht="15" customHeight="1" s="67">
      <c r="B29" s="117" t="inlineStr">
        <is>
          <t>• Early tiers unlock by CC; deep tiers (Archive+) unlock by CONQUEST -&gt; war drives economic acceleration.</t>
        </is>
      </c>
      <c r="C29" s="66" t="n">
        <v>1.25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2026-05-20T11:14:46Z</dcterms:created>
  <dcterms:modified xmlns:dcterms="http://purl.org/dc/terms/" xmlns:xsi="http://www.w3.org/2001/XMLSchema-instance" xsi:type="dcterms:W3CDTF">2026-10-23T13:33:28Z</dcterms:modified>
  <cp:revision>0</cp:revision>
</cp:coreProperties>
</file>